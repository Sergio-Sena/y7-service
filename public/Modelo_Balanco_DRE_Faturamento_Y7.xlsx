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1" activeTab="3" autoFilterDateGrouping="1"/>
  </bookViews>
  <sheets>
    <sheet xmlns:r="http://schemas.openxmlformats.org/officeDocument/2006/relationships" name="Cadastro" sheetId="1" state="visible" r:id="rId1"/>
    <sheet xmlns:r="http://schemas.openxmlformats.org/officeDocument/2006/relationships" name="BP Ativo" sheetId="2" state="visible" r:id="rId2"/>
    <sheet xmlns:r="http://schemas.openxmlformats.org/officeDocument/2006/relationships" name="BP Passivo" sheetId="3" state="visible" r:id="rId3"/>
    <sheet xmlns:r="http://schemas.openxmlformats.org/officeDocument/2006/relationships" name="DRE" sheetId="4" state="visible" r:id="rId4"/>
    <sheet xmlns:r="http://schemas.openxmlformats.org/officeDocument/2006/relationships" name="Faturamento Projetado" sheetId="5" state="visible" r:id="rId5"/>
    <sheet xmlns:r="http://schemas.openxmlformats.org/officeDocument/2006/relationships" name="Faturamento" sheetId="6" state="visible" r:id="rId6"/>
    <sheet xmlns:r="http://schemas.openxmlformats.org/officeDocument/2006/relationships" name="Faturamento Imposto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R\$\ #,##0.00"/>
    <numFmt numFmtId="165" formatCode="0.0000%"/>
  </numFmts>
  <fonts count="31">
    <font>
      <name val="Calibri"/>
      <charset val="1"/>
      <family val="2"/>
      <color rgb="FF000000"/>
      <sz val="11"/>
    </font>
    <font>
      <name val="Arial"/>
      <family val="2"/>
      <sz val="10"/>
    </font>
    <font>
      <name val="Arial"/>
      <family val="2"/>
      <b val="1"/>
      <color rgb="FF1B2A4A"/>
      <sz val="14"/>
    </font>
    <font>
      <name val="Arial"/>
      <family val="2"/>
      <b val="1"/>
      <color rgb="FF1B2A4A"/>
      <sz val="12"/>
    </font>
    <font>
      <name val="Arial"/>
      <family val="2"/>
      <b val="1"/>
      <color rgb="FF1B2A4A"/>
      <sz val="9"/>
    </font>
    <font>
      <name val="Arial"/>
      <family val="2"/>
      <color rgb="FF000000"/>
      <sz val="10"/>
    </font>
    <font>
      <name val="Arial"/>
      <family val="2"/>
      <b val="1"/>
      <color rgb="FFCC0000"/>
      <sz val="10"/>
    </font>
    <font>
      <name val="Arial"/>
      <family val="2"/>
      <color rgb="FF1B2A4A"/>
      <sz val="10"/>
    </font>
    <font>
      <name val="Arial"/>
      <family val="2"/>
      <i val="1"/>
      <color rgb="FF1B2A4A"/>
      <sz val="10"/>
    </font>
    <font>
      <name val="Arial"/>
      <family val="2"/>
      <b val="1"/>
      <color rgb="FF1B2A4A"/>
      <sz val="10"/>
    </font>
    <font>
      <name val="Arial"/>
      <family val="2"/>
      <b val="1"/>
      <color rgb="FFFFFFFF"/>
      <sz val="10"/>
    </font>
    <font>
      <name val="Arial"/>
      <family val="2"/>
      <color rgb="FF444444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1B2A4A"/>
      <sz val="11"/>
    </font>
    <font>
      <name val="Arial"/>
      <family val="2"/>
      <color rgb="FF666666"/>
      <sz val="8"/>
    </font>
    <font>
      <name val="Arial"/>
      <family val="2"/>
      <color rgb="FF0066CC"/>
      <sz val="10"/>
    </font>
    <font>
      <name val="Arial"/>
      <family val="2"/>
      <color rgb="FF1B2A4A"/>
      <sz val="9"/>
    </font>
    <font>
      <name val="Calibri"/>
      <charset val="1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color theme="0"/>
      <sz val="10"/>
    </font>
    <font>
      <name val="Arial"/>
      <family val="2"/>
      <b val="1"/>
      <color theme="0"/>
      <sz val="11"/>
    </font>
    <font>
      <name val="Arial"/>
      <family val="2"/>
      <b val="1"/>
      <color theme="1"/>
      <sz val="9"/>
    </font>
    <font>
      <name val="Arial"/>
      <family val="2"/>
      <color theme="1"/>
      <sz val="8"/>
    </font>
    <font>
      <name val="Arial"/>
      <family val="2"/>
      <b val="1"/>
      <i val="1"/>
      <color rgb="FF1B2A4A"/>
      <sz val="10"/>
    </font>
    <font>
      <name val="Arial"/>
      <family val="2"/>
      <b val="1"/>
      <i val="1"/>
      <color rgb="FF1B2A4A"/>
      <sz val="14"/>
    </font>
    <font>
      <name val="Arial"/>
      <family val="2"/>
      <b val="1"/>
      <sz val="10"/>
    </font>
    <font>
      <name val="Arial"/>
      <family val="2"/>
      <color rgb="FF1B2A4A"/>
      <sz val="9"/>
      <u val="single"/>
    </font>
    <font>
      <name val="Calibri"/>
      <charset val="1"/>
      <family val="2"/>
      <color rgb="FF000000"/>
      <sz val="11"/>
      <u val="single"/>
    </font>
    <font>
      <name val="Calibri"/>
      <charset val="1"/>
      <family val="2"/>
      <color theme="0"/>
      <sz val="11"/>
    </font>
    <font>
      <name val="Calibri"/>
      <charset val="1"/>
      <family val="2"/>
      <sz val="8"/>
    </font>
  </fonts>
  <fills count="9">
    <fill>
      <patternFill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theme="0" tint="-0.0499893185216834"/>
        <bgColor rgb="FF003366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3366"/>
      </patternFill>
    </fill>
  </fills>
  <borders count="18">
    <border>
      <left/>
      <right/>
      <top/>
      <bottom/>
      <diagonal/>
    </border>
    <border>
      <left style="thin">
        <color rgb="FF1B2A4A"/>
      </left>
      <right style="thin">
        <color rgb="FF1B2A4A"/>
      </right>
      <top/>
      <bottom/>
      <diagonal/>
    </border>
    <border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>
      <left/>
      <right/>
      <top style="medium">
        <color rgb="FF1B2A4A"/>
      </top>
      <bottom style="medium">
        <color rgb="FF1B2A4A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1B2A4A"/>
      </left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 style="thin">
        <color rgb="FF1B2A4A"/>
      </right>
      <top/>
      <bottom style="dashDot">
        <color auto="1"/>
      </bottom>
      <diagonal/>
    </border>
    <border>
      <left style="thin">
        <color rgb="FF1B2A4A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dashDot">
        <color auto="1"/>
      </left>
      <right style="thin">
        <color rgb="FF1B2A4A"/>
      </right>
      <top style="dashDot">
        <color auto="1"/>
      </top>
      <bottom style="dashDot">
        <color auto="1"/>
      </bottom>
      <diagonal/>
    </border>
    <border>
      <left/>
      <right style="dashDot">
        <color auto="1"/>
      </right>
      <top style="dashDot">
        <color auto="1"/>
      </top>
      <bottom/>
      <diagonal/>
    </border>
    <border>
      <left style="dashDot">
        <color auto="1"/>
      </left>
      <right/>
      <top style="dashDot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B2A4A"/>
      </left>
      <right/>
      <top style="thin">
        <color rgb="FF1B2A4A"/>
      </top>
      <bottom style="thin">
        <color rgb="FF1B2A4A"/>
      </bottom>
      <diagonal/>
    </border>
    <border>
      <left style="thin">
        <color rgb="FF1B2A4A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4" fontId="0" fillId="0" borderId="0" pivotButton="0" quotePrefix="0" xfId="0"/>
    <xf numFmtId="0" fontId="10" fillId="2" borderId="2" applyAlignment="1" pivotButton="0" quotePrefix="0" xfId="0">
      <alignment horizontal="center" vertical="center"/>
    </xf>
    <xf numFmtId="4" fontId="12" fillId="0" borderId="2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indent="1"/>
    </xf>
    <xf numFmtId="0" fontId="13" fillId="0" borderId="1" applyAlignment="1" pivotButton="0" quotePrefix="0" xfId="0">
      <alignment horizontal="left" vertical="center" indent="1"/>
    </xf>
    <xf numFmtId="0" fontId="4" fillId="0" borderId="0" pivotButton="0" quotePrefix="0" xfId="0"/>
    <xf numFmtId="0" fontId="14" fillId="0" borderId="0" pivotButton="0" quotePrefix="0" xfId="0"/>
    <xf numFmtId="4" fontId="5" fillId="0" borderId="1" applyAlignment="1" pivotButton="0" quotePrefix="0" xfId="0">
      <alignment horizontal="right" vertical="center"/>
    </xf>
    <xf numFmtId="0" fontId="13" fillId="0" borderId="3" applyAlignment="1" pivotButton="0" quotePrefix="0" xfId="0">
      <alignment horizontal="left" vertical="center" indent="1"/>
    </xf>
    <xf numFmtId="4" fontId="13" fillId="0" borderId="3" applyAlignment="1" pivotButton="0" quotePrefix="0" xfId="0">
      <alignment horizontal="right" vertical="center"/>
    </xf>
    <xf numFmtId="0" fontId="16" fillId="0" borderId="0" pivotButton="0" quotePrefix="0" xfId="0"/>
    <xf numFmtId="0" fontId="5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18" fillId="3" borderId="2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indent="1"/>
    </xf>
    <xf numFmtId="4" fontId="12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3"/>
    </xf>
    <xf numFmtId="4" fontId="5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 indent="1"/>
    </xf>
    <xf numFmtId="4" fontId="13" fillId="0" borderId="0" applyAlignment="1" pivotButton="0" quotePrefix="0" xfId="0">
      <alignment horizontal="right" vertical="center"/>
    </xf>
    <xf numFmtId="4" fontId="6" fillId="0" borderId="0" applyAlignment="1" pivotButton="0" quotePrefix="0" xfId="0">
      <alignment horizontal="right" vertical="center"/>
    </xf>
    <xf numFmtId="4" fontId="15" fillId="0" borderId="0" applyAlignment="1" pivotButton="0" quotePrefix="0" xfId="0">
      <alignment horizontal="right" vertical="center"/>
    </xf>
    <xf numFmtId="0" fontId="17" fillId="0" borderId="0" pivotButton="0" quotePrefix="0" xfId="0"/>
    <xf numFmtId="0" fontId="19" fillId="3" borderId="0" applyAlignment="1" pivotButton="0" quotePrefix="0" xfId="0">
      <alignment horizontal="center" vertical="center"/>
    </xf>
    <xf numFmtId="4" fontId="19" fillId="0" borderId="0" applyAlignment="1" pivotButton="0" quotePrefix="0" xfId="0">
      <alignment horizontal="right" vertical="center"/>
    </xf>
    <xf numFmtId="4" fontId="20" fillId="0" borderId="0" applyAlignment="1" pivotButton="0" quotePrefix="0" xfId="0">
      <alignment horizontal="right" vertical="center"/>
    </xf>
    <xf numFmtId="4" fontId="21" fillId="0" borderId="0" applyAlignment="1" pivotButton="0" quotePrefix="0" xfId="0">
      <alignment horizontal="right" vertical="center"/>
    </xf>
    <xf numFmtId="4" fontId="18" fillId="0" borderId="0" applyAlignment="1" pivotButton="0" quotePrefix="0" xfId="0">
      <alignment horizontal="right" vertical="center"/>
    </xf>
    <xf numFmtId="0" fontId="22" fillId="0" borderId="0" pivotButton="0" quotePrefix="0" xfId="0"/>
    <xf numFmtId="0" fontId="23" fillId="0" borderId="0" pivotButton="0" quotePrefix="0" xfId="0"/>
    <xf numFmtId="0" fontId="9" fillId="0" borderId="0" applyAlignment="1" pivotButton="0" quotePrefix="0" xfId="0">
      <alignment horizontal="left" vertical="center"/>
    </xf>
    <xf numFmtId="0" fontId="4" fillId="5" borderId="0" pivotButton="0" quotePrefix="0" xfId="0"/>
    <xf numFmtId="4" fontId="0" fillId="5" borderId="0" pivotButton="0" quotePrefix="0" xfId="0"/>
    <xf numFmtId="0" fontId="0" fillId="6" borderId="0" pivotButton="0" quotePrefix="0" xfId="0"/>
    <xf numFmtId="0" fontId="4" fillId="6" borderId="6" pivotButton="0" quotePrefix="0" xfId="0"/>
    <xf numFmtId="0" fontId="5" fillId="6" borderId="7" pivotButton="0" quotePrefix="0" xfId="0"/>
    <xf numFmtId="0" fontId="4" fillId="6" borderId="8" pivotButton="0" quotePrefix="0" xfId="0"/>
    <xf numFmtId="3" fontId="6" fillId="6" borderId="9" applyAlignment="1" pivotButton="0" quotePrefix="0" xfId="0">
      <alignment horizontal="left"/>
    </xf>
    <xf numFmtId="0" fontId="5" fillId="6" borderId="9" pivotButton="0" quotePrefix="0" xfId="0"/>
    <xf numFmtId="4" fontId="6" fillId="6" borderId="9" applyAlignment="1" pivotButton="0" quotePrefix="0" xfId="0">
      <alignment horizontal="left"/>
    </xf>
    <xf numFmtId="0" fontId="0" fillId="6" borderId="10" pivotButton="0" quotePrefix="0" xfId="0"/>
    <xf numFmtId="0" fontId="0" fillId="6" borderId="11" pivotButton="0" quotePrefix="0" xfId="0"/>
    <xf numFmtId="0" fontId="26" fillId="0" borderId="0" pivotButton="0" quotePrefix="0" xfId="0"/>
    <xf numFmtId="164" fontId="26" fillId="0" borderId="12" pivotButton="0" quotePrefix="0" xfId="0"/>
    <xf numFmtId="0" fontId="26" fillId="0" borderId="12" pivotButton="0" quotePrefix="0" xfId="0"/>
    <xf numFmtId="0" fontId="1" fillId="0" borderId="12" pivotButton="0" quotePrefix="0" xfId="0"/>
    <xf numFmtId="164" fontId="1" fillId="0" borderId="12" pivotButton="0" quotePrefix="0" xfId="0"/>
    <xf numFmtId="165" fontId="1" fillId="0" borderId="12" pivotButton="0" quotePrefix="0" xfId="0"/>
    <xf numFmtId="0" fontId="0" fillId="0" borderId="12" pivotButton="0" quotePrefix="0" xfId="0"/>
    <xf numFmtId="10" fontId="26" fillId="0" borderId="12" pivotButton="0" quotePrefix="0" xfId="0"/>
    <xf numFmtId="0" fontId="10" fillId="2" borderId="13" applyAlignment="1" pivotButton="0" quotePrefix="0" xfId="0">
      <alignment horizontal="center" vertical="center"/>
    </xf>
    <xf numFmtId="4" fontId="5" fillId="0" borderId="14" applyAlignment="1" pivotButton="0" quotePrefix="0" xfId="0">
      <alignment horizontal="right" vertical="center"/>
    </xf>
    <xf numFmtId="0" fontId="19" fillId="8" borderId="0" applyAlignment="1" pivotButton="0" quotePrefix="0" xfId="0">
      <alignment horizontal="center" vertical="center"/>
    </xf>
    <xf numFmtId="4" fontId="20" fillId="7" borderId="0" applyAlignment="1" pivotButton="0" quotePrefix="0" xfId="0">
      <alignment horizontal="right" vertical="center"/>
    </xf>
    <xf numFmtId="4" fontId="21" fillId="7" borderId="0" applyAlignment="1" pivotButton="0" quotePrefix="0" xfId="0">
      <alignment horizontal="right" vertical="center"/>
    </xf>
    <xf numFmtId="0" fontId="27" fillId="5" borderId="0" pivotButton="0" quotePrefix="0" xfId="0"/>
    <xf numFmtId="4" fontId="28" fillId="5" borderId="0" pivotButton="0" quotePrefix="0" xfId="0"/>
    <xf numFmtId="0" fontId="29" fillId="0" borderId="0" pivotButton="0" quotePrefix="0" xfId="0"/>
    <xf numFmtId="4" fontId="26" fillId="0" borderId="0" applyAlignment="1" pivotButton="0" quotePrefix="0" xfId="0">
      <alignment horizontal="right" vertical="center"/>
    </xf>
    <xf numFmtId="0" fontId="5" fillId="0" borderId="14" applyAlignment="1" pivotButton="0" quotePrefix="0" xfId="0">
      <alignment horizontal="center" vertical="center"/>
    </xf>
    <xf numFmtId="0" fontId="2" fillId="4" borderId="0" pivotButton="0" quotePrefix="0" xfId="0"/>
    <xf numFmtId="0" fontId="3" fillId="6" borderId="4" pivotButton="0" quotePrefix="0" xfId="0"/>
    <xf numFmtId="0" fontId="3" fillId="6" borderId="5" pivotButton="0" quotePrefix="0" xfId="0"/>
    <xf numFmtId="0" fontId="9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9" fillId="0" borderId="0" pivotButton="0" quotePrefix="0" xfId="0"/>
    <xf numFmtId="0" fontId="2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3" fillId="6" borderId="15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444444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1B2A4A"/>
    <outlinePr summaryBelow="1" summaryRight="1"/>
    <pageSetUpPr/>
  </sheetPr>
  <dimension ref="A1:I44"/>
  <sheetViews>
    <sheetView zoomScaleNormal="100" workbookViewId="0">
      <selection activeCell="C6" sqref="C6"/>
    </sheetView>
  </sheetViews>
  <sheetFormatPr baseColWidth="8" defaultColWidth="8.7109375" defaultRowHeight="15"/>
  <cols>
    <col width="15" customWidth="1" min="2" max="2"/>
    <col width="60.5703125" customWidth="1" min="3" max="3"/>
    <col width="20" customWidth="1" min="4" max="5"/>
  </cols>
  <sheetData>
    <row r="1" ht="15" customHeight="1" thickBot="1">
      <c r="B1" s="64" t="inlineStr">
        <is>
          <t>CADASTRO DA EMPRESA</t>
        </is>
      </c>
    </row>
    <row r="2" ht="15" customHeight="1" thickBot="1">
      <c r="B2" s="77" t="inlineStr">
        <is>
          <t>MODELO DE DEMONSTRATIVOS CONTÁBEIS - Y7 SERVICE</t>
        </is>
      </c>
      <c r="C2" s="78" t="n"/>
    </row>
    <row r="3">
      <c r="B3" s="37" t="n"/>
      <c r="C3" s="37" t="n"/>
    </row>
    <row r="4" ht="15" customHeight="1">
      <c r="B4" s="38" t="inlineStr">
        <is>
          <t>DATA</t>
        </is>
      </c>
      <c r="C4" s="39" t="inlineStr">
        <is>
          <t>São Paulo, 02 de Janeiro de 2024</t>
        </is>
      </c>
    </row>
    <row r="5" ht="15" customHeight="1">
      <c r="B5" s="40" t="inlineStr">
        <is>
          <t>ANO</t>
        </is>
      </c>
      <c r="C5" s="41" t="n">
        <v>2025</v>
      </c>
    </row>
    <row r="6" ht="15" customHeight="1">
      <c r="B6" s="40" t="inlineStr">
        <is>
          <t>NOME</t>
        </is>
      </c>
      <c r="C6" s="42" t="inlineStr">
        <is>
          <t>[RAZÃO SOCIAL DA EMPRESA]</t>
        </is>
      </c>
    </row>
    <row r="7" ht="15" customHeight="1">
      <c r="B7" s="40" t="inlineStr">
        <is>
          <t>CNPJ</t>
        </is>
      </c>
      <c r="C7" s="42" t="inlineStr">
        <is>
          <t>00.000.000/0001-00</t>
        </is>
      </c>
    </row>
    <row r="8" ht="15" customHeight="1">
      <c r="B8" s="40" t="inlineStr">
        <is>
          <t>CAPITAL SOCIAL</t>
        </is>
      </c>
      <c r="C8" s="43" t="n">
        <v>100000</v>
      </c>
    </row>
    <row r="9" ht="15" customHeight="1">
      <c r="B9" s="40" t="inlineStr">
        <is>
          <t>SÓCIO</t>
        </is>
      </c>
      <c r="C9" s="42" t="inlineStr">
        <is>
          <t>[NOME DO SÓCIO ADMINISTRADOR]</t>
        </is>
      </c>
    </row>
    <row r="10" ht="15" customHeight="1">
      <c r="B10" s="40" t="inlineStr">
        <is>
          <t>QUALIFICAÇÃO</t>
        </is>
      </c>
      <c r="C10" s="42" t="inlineStr">
        <is>
          <t>Sócio Administrador</t>
        </is>
      </c>
    </row>
    <row r="11" ht="15" customHeight="1">
      <c r="B11" s="40" t="inlineStr">
        <is>
          <t>CPF SÓCIO</t>
        </is>
      </c>
      <c r="C11" s="42" t="inlineStr">
        <is>
          <t>CPF/MF: 000.000.000-00</t>
        </is>
      </c>
    </row>
    <row r="12" ht="15" customHeight="1">
      <c r="B12" s="40" t="inlineStr">
        <is>
          <t>CONTADOR</t>
        </is>
      </c>
      <c r="C12" s="42" t="inlineStr">
        <is>
          <t>NILSON / RESPONSÁVEL TÉCNICO</t>
        </is>
      </c>
    </row>
    <row r="13" ht="15" customHeight="1">
      <c r="B13" s="40" t="inlineStr">
        <is>
          <t>CRC</t>
        </is>
      </c>
      <c r="C13" s="42" t="inlineStr">
        <is>
          <t>CRC/SP</t>
        </is>
      </c>
    </row>
    <row r="14" ht="15" customHeight="1">
      <c r="B14" s="40" t="inlineStr">
        <is>
          <t>CPF CONTADOR</t>
        </is>
      </c>
      <c r="C14" s="42" t="inlineStr">
        <is>
          <t>CPF/MF: 000.000.000-00</t>
        </is>
      </c>
    </row>
    <row r="15" ht="15" customHeight="1">
      <c r="B15" s="40" t="inlineStr">
        <is>
          <t>BALANÇO</t>
        </is>
      </c>
      <c r="C15" s="67" t="inlineStr">
        <is>
          <t>Encerrado em 31 de Dezembro de 2025  |  Valores em R$</t>
        </is>
      </c>
    </row>
    <row r="16" ht="15" customHeight="1">
      <c r="B16" s="40" t="inlineStr">
        <is>
          <t>DRE</t>
        </is>
      </c>
      <c r="C16" s="42" t="inlineStr">
        <is>
          <t>Demonstrativo de Resultado Encerrado em 31/12/2023</t>
        </is>
      </c>
    </row>
    <row r="17" ht="15" customHeight="1">
      <c r="B17" s="40" t="inlineStr">
        <is>
          <t>FATURAMENTO</t>
        </is>
      </c>
      <c r="C17" s="42" t="inlineStr">
        <is>
          <t>Declaração de Faturamento 12 Meses - 2023</t>
        </is>
      </c>
    </row>
    <row r="18">
      <c r="B18" s="44" t="n"/>
      <c r="C18" s="45" t="n"/>
    </row>
    <row r="19"/>
    <row r="20"/>
    <row r="21">
      <c r="B21" s="35" t="inlineStr">
        <is>
          <t>total do ativo</t>
        </is>
      </c>
      <c r="C21" s="36">
        <f>'BP Ativo'!D39</f>
        <v/>
      </c>
      <c r="D21" s="67" t="n"/>
      <c r="E21" s="67" t="n"/>
    </row>
    <row r="22">
      <c r="B22" s="35" t="inlineStr">
        <is>
          <t xml:space="preserve">total do passivo </t>
        </is>
      </c>
      <c r="C22" s="36">
        <f>'BP Passivo'!D33</f>
        <v/>
      </c>
    </row>
    <row r="23" ht="19.9" customHeight="1">
      <c r="B23" s="59" t="inlineStr">
        <is>
          <t>saldo</t>
        </is>
      </c>
      <c r="C23" s="60">
        <f>C21-C22</f>
        <v/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</sheetData>
  <mergeCells count="3">
    <mergeCell ref="B1:C1"/>
    <mergeCell ref="B2:C2"/>
    <mergeCell ref="C15:F15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1B2A4A"/>
    <outlinePr summaryBelow="1" summaryRight="1"/>
    <pageSetUpPr/>
  </sheetPr>
  <dimension ref="A1:I44"/>
  <sheetViews>
    <sheetView topLeftCell="A16" zoomScaleNormal="100" workbookViewId="0">
      <selection activeCell="F10" sqref="F10"/>
    </sheetView>
  </sheetViews>
  <sheetFormatPr baseColWidth="8" defaultColWidth="8.7109375" defaultRowHeight="15"/>
  <cols>
    <col width="2.5703125" customWidth="1" min="1" max="1"/>
    <col width="12.7109375" customWidth="1" min="2" max="2"/>
    <col width="37" customWidth="1" min="3" max="3"/>
    <col width="33.7109375" customWidth="1" min="4" max="4"/>
    <col width="20" customWidth="1" style="61" min="5" max="5"/>
    <col width="16" customWidth="1" min="6" max="6"/>
  </cols>
  <sheetData>
    <row r="1" ht="30" customHeight="1">
      <c r="B1" s="68" t="inlineStr">
        <is>
          <t>Balanço Patrimonial — ATIVO</t>
        </is>
      </c>
      <c r="F1" s="1" t="n">
        <v>17910161.85</v>
      </c>
    </row>
    <row r="2" ht="15" customHeight="1">
      <c r="B2" s="67">
        <f>Cadastro!C15</f>
        <v/>
      </c>
    </row>
    <row r="3" ht="15" customHeight="1">
      <c r="B3" s="69" t="inlineStr">
        <is>
          <t>[EMPRESA AUDITADA] — CNPJ/MF 00.000.000/0001-00</t>
        </is>
      </c>
    </row>
    <row r="4" ht="15" customHeight="1">
      <c r="B4" s="70" t="inlineStr">
        <is>
          <t xml:space="preserve">  1 — ATIVO</t>
        </is>
      </c>
    </row>
    <row r="5" ht="24.75" customHeight="1">
      <c r="B5" s="15" t="inlineStr">
        <is>
          <t>CÓDIGO</t>
        </is>
      </c>
      <c r="C5" s="15" t="inlineStr">
        <is>
          <t>DESCRIÇÃO DA CONTA</t>
        </is>
      </c>
      <c r="D5" s="15" t="inlineStr">
        <is>
          <t>2025 (R$)</t>
        </is>
      </c>
      <c r="E5" s="27" t="inlineStr">
        <is>
          <t>2024 (R$)</t>
        </is>
      </c>
    </row>
    <row r="6" ht="15" customHeight="1">
      <c r="B6" s="16" t="inlineStr">
        <is>
          <t>1.1</t>
        </is>
      </c>
      <c r="C6" s="17" t="inlineStr">
        <is>
          <t>ATIVO CIRCULANTE</t>
        </is>
      </c>
      <c r="D6" s="18">
        <f>D7+D11+D17+D20</f>
        <v/>
      </c>
      <c r="E6" s="28">
        <f>E7+E11+E17+E20</f>
        <v/>
      </c>
    </row>
    <row r="7" ht="15" customHeight="1">
      <c r="B7" s="16" t="inlineStr">
        <is>
          <t>1.1.1</t>
        </is>
      </c>
      <c r="C7" s="19" t="inlineStr">
        <is>
          <t>DISPONÍVEL</t>
        </is>
      </c>
      <c r="D7" s="18">
        <f>SUM(D8:D10)</f>
        <v/>
      </c>
      <c r="E7" s="28">
        <f>SUM(E8:E10)</f>
        <v/>
      </c>
    </row>
    <row r="8" ht="15" customHeight="1">
      <c r="B8" s="16" t="inlineStr">
        <is>
          <t>1.1.1.001</t>
        </is>
      </c>
      <c r="C8" s="20" t="inlineStr">
        <is>
          <t>Caixa</t>
        </is>
      </c>
      <c r="D8" s="21">
        <f>0.0224899998899222*Faturamento!D19</f>
        <v/>
      </c>
      <c r="E8" s="29">
        <f>0.015889057417982*'BP Ativo'!$F$1</f>
        <v/>
      </c>
    </row>
    <row r="9" ht="15" customHeight="1">
      <c r="B9" s="16" t="inlineStr">
        <is>
          <t>1.1.1.002</t>
        </is>
      </c>
      <c r="C9" s="20" t="inlineStr">
        <is>
          <t>Bancos c/ Movimento</t>
        </is>
      </c>
      <c r="D9" s="21">
        <f>0.0567759999171238*Faturamento!D19</f>
        <v/>
      </c>
      <c r="E9" s="29">
        <f>0.0196453305641121*'BP Ativo'!$F$1</f>
        <v/>
      </c>
    </row>
    <row r="10" ht="15" customHeight="1">
      <c r="B10" s="16" t="inlineStr">
        <is>
          <t>1.1.1.003</t>
        </is>
      </c>
      <c r="C10" s="20" t="inlineStr">
        <is>
          <t>Bancos c/ Aplicação</t>
        </is>
      </c>
      <c r="D10" s="21">
        <f>0.0511600001583176*Faturamento!D19</f>
        <v/>
      </c>
      <c r="E10" s="29">
        <f>0.01004610407806*'BP Ativo'!$F$1</f>
        <v/>
      </c>
    </row>
    <row r="11" ht="15" customHeight="1">
      <c r="B11" s="16" t="inlineStr">
        <is>
          <t>1.1.2</t>
        </is>
      </c>
      <c r="C11" s="19" t="inlineStr">
        <is>
          <t>CRÉDITOS</t>
        </is>
      </c>
      <c r="D11" s="18">
        <f>SUM(D12:D16)</f>
        <v/>
      </c>
      <c r="E11" s="28">
        <f>SUM(E12:E16)</f>
        <v/>
      </c>
    </row>
    <row r="12" ht="15" customHeight="1">
      <c r="B12" s="16" t="inlineStr">
        <is>
          <t>1.1.2.001</t>
        </is>
      </c>
      <c r="C12" s="20" t="inlineStr">
        <is>
          <t>Duplicatas a Receber (Clientes)</t>
        </is>
      </c>
      <c r="D12" s="21">
        <f>0.441862999754904*Faturamento!D19</f>
        <v/>
      </c>
      <c r="E12" s="29">
        <f>0.298860999963549*'BP Ativo'!$F$1</f>
        <v/>
      </c>
    </row>
    <row r="13" ht="15" customHeight="1">
      <c r="B13" s="16" t="inlineStr">
        <is>
          <t>(-)1.1.2.002</t>
        </is>
      </c>
      <c r="C13" s="20" t="inlineStr">
        <is>
          <t>(-) Duplicatas Descontadas</t>
        </is>
      </c>
      <c r="D13" s="21" t="n">
        <v>0</v>
      </c>
      <c r="E13" s="29">
        <f>-0.00428491102664156*'BP Ativo'!$F$1</f>
        <v/>
      </c>
    </row>
    <row r="14" ht="15" customHeight="1">
      <c r="B14" s="16" t="inlineStr">
        <is>
          <t>1.1.2.003</t>
        </is>
      </c>
      <c r="C14" s="20" t="inlineStr">
        <is>
          <t>Adiantamento a Fornecedores</t>
        </is>
      </c>
      <c r="D14" s="21" t="n">
        <v>0</v>
      </c>
      <c r="E14" s="29">
        <f>0.0148093189900459*'BP Ativo'!$F$1</f>
        <v/>
      </c>
    </row>
    <row r="15" ht="15" customHeight="1">
      <c r="B15" s="16" t="inlineStr">
        <is>
          <t>1.1.2.005</t>
        </is>
      </c>
      <c r="C15" s="20" t="inlineStr">
        <is>
          <t>Imposto a Recuperar</t>
        </is>
      </c>
      <c r="D15" s="21" t="n">
        <v>0</v>
      </c>
      <c r="E15" s="29">
        <f>0.0219786059610623*'BP Ativo'!$F$1</f>
        <v/>
      </c>
    </row>
    <row r="16" ht="15" customHeight="1">
      <c r="B16" s="16" t="inlineStr">
        <is>
          <t>1.1.2.006</t>
        </is>
      </c>
      <c r="C16" s="20" t="inlineStr">
        <is>
          <t>Clientes Diversos</t>
        </is>
      </c>
      <c r="D16" s="21" t="n">
        <v>0</v>
      </c>
      <c r="E16" s="29">
        <f>0.0610112459703986*'BP Ativo'!$F$1</f>
        <v/>
      </c>
    </row>
    <row r="17" ht="15" customHeight="1">
      <c r="B17" s="16" t="inlineStr">
        <is>
          <t>1.1.3</t>
        </is>
      </c>
      <c r="C17" s="19" t="inlineStr">
        <is>
          <t>ESTOQUES</t>
        </is>
      </c>
      <c r="D17" s="18">
        <f>SUM(D18:D19)</f>
        <v/>
      </c>
      <c r="E17" s="28">
        <f>SUM(E18:E19)</f>
        <v/>
      </c>
    </row>
    <row r="18" ht="15" customHeight="1">
      <c r="B18" s="16" t="inlineStr">
        <is>
          <t>1.1.3.001</t>
        </is>
      </c>
      <c r="C18" s="20" t="inlineStr">
        <is>
          <t>Mercadorias</t>
        </is>
      </c>
      <c r="D18" s="21">
        <f>0.00488770943234802*Faturamento!D19</f>
        <v/>
      </c>
      <c r="E18" s="29" t="n">
        <v>0</v>
      </c>
    </row>
    <row r="19" ht="15" customHeight="1">
      <c r="B19" s="16" t="inlineStr">
        <is>
          <t>1.1.3.002</t>
        </is>
      </c>
      <c r="C19" s="20" t="inlineStr">
        <is>
          <t>Material de Uso e Consumo</t>
        </is>
      </c>
      <c r="D19" s="21">
        <f>0.00128947404759145*Faturamento!D19</f>
        <v/>
      </c>
      <c r="E19" s="29">
        <f>0.00291232097380516*'BP Ativo'!$F$1</f>
        <v/>
      </c>
    </row>
    <row r="20" ht="15" customHeight="1">
      <c r="B20" s="16" t="inlineStr">
        <is>
          <t>1.1.4</t>
        </is>
      </c>
      <c r="C20" s="19" t="inlineStr">
        <is>
          <t>DESPESAS DO EXERCÍCIO SEGUINTE</t>
        </is>
      </c>
      <c r="D20" s="18">
        <f>SUM(D21:D22)</f>
        <v/>
      </c>
      <c r="E20" s="28">
        <f>SUM(E21:E22)</f>
        <v/>
      </c>
    </row>
    <row r="21" ht="15" customHeight="1">
      <c r="B21" s="16" t="inlineStr">
        <is>
          <t>1.1.4.001</t>
        </is>
      </c>
      <c r="C21" s="20" t="inlineStr">
        <is>
          <t>Prêmios de Seguros a Apropriar</t>
        </is>
      </c>
      <c r="D21" s="21" t="n">
        <v>0</v>
      </c>
      <c r="E21" s="29">
        <f>0.00570080777913238*'BP Ativo'!$F$1</f>
        <v/>
      </c>
    </row>
    <row r="22" ht="15" customHeight="1">
      <c r="B22" s="16" t="inlineStr">
        <is>
          <t>1.1.4.002</t>
        </is>
      </c>
      <c r="C22" s="20" t="inlineStr">
        <is>
          <t>Juros Passivos a Apropriar</t>
        </is>
      </c>
      <c r="D22" s="21" t="n">
        <v>0</v>
      </c>
      <c r="E22" s="29">
        <f>0.000920073204140252*'BP Ativo'!$F$1</f>
        <v/>
      </c>
    </row>
    <row r="23" ht="15" customHeight="1">
      <c r="B23" s="16" t="inlineStr">
        <is>
          <t>1.2</t>
        </is>
      </c>
      <c r="C23" s="17" t="inlineStr">
        <is>
          <t>NÃO CIRCULANTE</t>
        </is>
      </c>
      <c r="D23" s="18">
        <f>D24+D28+D31+D37</f>
        <v/>
      </c>
      <c r="E23" s="28">
        <f>E24+E28+E31+E37</f>
        <v/>
      </c>
    </row>
    <row r="24" ht="15" customHeight="1">
      <c r="B24" s="16" t="inlineStr">
        <is>
          <t>1.2.1</t>
        </is>
      </c>
      <c r="C24" s="19" t="inlineStr">
        <is>
          <t>REALIZÁVEL A LONGO PRAZO</t>
        </is>
      </c>
      <c r="D24" s="18">
        <f>SUM(D25:D27)</f>
        <v/>
      </c>
      <c r="E24" s="28">
        <f>SUM(E25:E27)</f>
        <v/>
      </c>
    </row>
    <row r="25" ht="15" customHeight="1">
      <c r="B25" s="16" t="inlineStr">
        <is>
          <t>1.2.1.001</t>
        </is>
      </c>
      <c r="C25" s="20" t="inlineStr">
        <is>
          <t>Clientes - LP</t>
        </is>
      </c>
      <c r="D25" s="21">
        <f>0.0700799999943277*Faturamento!D19</f>
        <v/>
      </c>
      <c r="E25" s="29" t="n">
        <v>0</v>
      </c>
    </row>
    <row r="26" ht="15" customHeight="1">
      <c r="B26" s="16" t="inlineStr">
        <is>
          <t>1.2.1.002</t>
        </is>
      </c>
      <c r="C26" s="20" t="inlineStr">
        <is>
          <t>Investimentos Temporários LP</t>
        </is>
      </c>
      <c r="D26" s="21">
        <f>0.018947853806805*Faturamento!D19</f>
        <v/>
      </c>
      <c r="E26" s="29">
        <f>0.00293541624248359*'BP Ativo'!$F$1</f>
        <v/>
      </c>
    </row>
    <row r="27" ht="15" customHeight="1">
      <c r="B27" s="16" t="inlineStr">
        <is>
          <t>1.2.1.003</t>
        </is>
      </c>
      <c r="C27" s="20" t="inlineStr">
        <is>
          <t>Clientes Diversos LP</t>
        </is>
      </c>
      <c r="D27" s="21" t="n">
        <v>0</v>
      </c>
      <c r="E27" s="29">
        <f>0.00121654512016596*'BP Ativo'!$F$1</f>
        <v/>
      </c>
    </row>
    <row r="28" ht="15" customHeight="1">
      <c r="B28" s="16" t="inlineStr">
        <is>
          <t>1.2.2</t>
        </is>
      </c>
      <c r="C28" s="19" t="inlineStr">
        <is>
          <t>INVESTIMENTOS</t>
        </is>
      </c>
      <c r="D28" s="18">
        <f>SUM(D29:D30)</f>
        <v/>
      </c>
      <c r="E28" s="28">
        <f>SUM(E29:E30)</f>
        <v/>
      </c>
    </row>
    <row r="29" ht="15" customHeight="1">
      <c r="B29" s="16" t="inlineStr">
        <is>
          <t>1.2.2.001</t>
        </is>
      </c>
      <c r="C29" s="20" t="inlineStr">
        <is>
          <t>Participações em Outras Empresas</t>
        </is>
      </c>
      <c r="D29" s="21" t="n">
        <v>0</v>
      </c>
      <c r="E29" s="29" t="n">
        <v>0</v>
      </c>
    </row>
    <row r="30" ht="15" customHeight="1">
      <c r="B30" s="16" t="inlineStr">
        <is>
          <t>1.2.2.002</t>
        </is>
      </c>
      <c r="C30" s="20" t="inlineStr">
        <is>
          <t>Imóveis para Revenda</t>
        </is>
      </c>
      <c r="D30" s="21" t="n">
        <v>0</v>
      </c>
      <c r="E30" s="29" t="n">
        <v>0</v>
      </c>
    </row>
    <row r="31" ht="15" customHeight="1">
      <c r="B31" s="16" t="inlineStr">
        <is>
          <t>1.2.3</t>
        </is>
      </c>
      <c r="C31" s="19" t="inlineStr">
        <is>
          <t>IMOBILIZADO</t>
        </is>
      </c>
      <c r="D31" s="18">
        <f>SUM(D32:D36)</f>
        <v/>
      </c>
      <c r="E31" s="28">
        <f>SUM(E32:E36)</f>
        <v/>
      </c>
    </row>
    <row r="32" ht="15" customHeight="1">
      <c r="B32" s="16" t="inlineStr">
        <is>
          <t>1.2.3.001</t>
        </is>
      </c>
      <c r="C32" s="20" t="inlineStr">
        <is>
          <t>Máquinas</t>
        </is>
      </c>
      <c r="D32" s="21" t="n">
        <v>0</v>
      </c>
      <c r="E32" s="29">
        <f>0.0286713863504254*'BP Ativo'!$F$1</f>
        <v/>
      </c>
    </row>
    <row r="33" ht="15" customHeight="1">
      <c r="B33" s="16" t="inlineStr">
        <is>
          <t>1.2.3.002</t>
        </is>
      </c>
      <c r="C33" s="20" t="inlineStr">
        <is>
          <t>Veículos</t>
        </is>
      </c>
      <c r="D33" s="21">
        <f>0.097100000173967*Faturamento!D19</f>
        <v/>
      </c>
      <c r="E33" s="29">
        <f>0.0284714345001857*'BP Ativo'!$F$1</f>
        <v/>
      </c>
    </row>
    <row r="34" ht="15" customHeight="1">
      <c r="B34" s="16" t="inlineStr">
        <is>
          <t>1.2.3.003</t>
        </is>
      </c>
      <c r="C34" s="20" t="inlineStr">
        <is>
          <t>Equipamentos de Informática</t>
        </is>
      </c>
      <c r="D34" s="21" t="n">
        <v>0</v>
      </c>
      <c r="E34" s="29">
        <f>0.000764744066229642*'BP Ativo'!$F$1</f>
        <v/>
      </c>
    </row>
    <row r="35" ht="15" customHeight="1">
      <c r="B35" s="16" t="inlineStr">
        <is>
          <t>1.2.3.004</t>
        </is>
      </c>
      <c r="C35" s="20" t="inlineStr">
        <is>
          <t>Instalações</t>
        </is>
      </c>
      <c r="D35" s="21" t="n">
        <v>0</v>
      </c>
      <c r="E35" s="29">
        <f>0.0111445570214096*'BP Ativo'!$F$1</f>
        <v/>
      </c>
    </row>
    <row r="36" ht="15" customHeight="1">
      <c r="B36" s="16" t="inlineStr">
        <is>
          <t>(-)1.2.3.005</t>
        </is>
      </c>
      <c r="C36" s="20" t="inlineStr">
        <is>
          <t>(-) Depreciação Acumulada</t>
        </is>
      </c>
      <c r="D36" s="21">
        <f>-0.00678020184141549*Faturamento!D19</f>
        <v/>
      </c>
      <c r="E36" s="29">
        <f>-0.00735626629750417*'BP Ativo'!$F$1</f>
        <v/>
      </c>
    </row>
    <row r="37" ht="15" customHeight="1">
      <c r="B37" s="16" t="inlineStr">
        <is>
          <t>1.2.4</t>
        </is>
      </c>
      <c r="C37" s="19" t="inlineStr">
        <is>
          <t>DIFERIDO</t>
        </is>
      </c>
      <c r="D37" s="18">
        <f>SUM(D38:D38)</f>
        <v/>
      </c>
      <c r="E37" s="28">
        <f>SUM(E38:E38)</f>
        <v/>
      </c>
    </row>
    <row r="38" ht="15" customHeight="1">
      <c r="B38" s="16" t="inlineStr">
        <is>
          <t>1.2.4.001</t>
        </is>
      </c>
      <c r="C38" s="20" t="inlineStr">
        <is>
          <t>Despesas Pré-Operacionais</t>
        </is>
      </c>
      <c r="D38" s="21" t="n">
        <v>0</v>
      </c>
      <c r="E38" s="29">
        <f>0.0288300761503169*'BP Ativo'!$F$1</f>
        <v/>
      </c>
    </row>
    <row r="39" ht="24.75" customHeight="1">
      <c r="C39" s="22" t="inlineStr">
        <is>
          <t>TOTAL DO ATIVO</t>
        </is>
      </c>
      <c r="D39" s="23">
        <f>D6+D23</f>
        <v/>
      </c>
      <c r="E39" s="30">
        <f>E6+E23</f>
        <v/>
      </c>
    </row>
    <row r="40"/>
    <row r="41" ht="15" customHeight="1">
      <c r="B41" s="6" t="inlineStr">
        <is>
          <t>NILSON / CONTADOR RESPONSÁVEL</t>
        </is>
      </c>
      <c r="D41" s="32" t="inlineStr">
        <is>
          <t>[SÓCIO ADMINISTRADOR]</t>
        </is>
      </c>
    </row>
    <row r="42" ht="15" customHeight="1">
      <c r="B42" s="7" t="inlineStr">
        <is>
          <t>Contador - CRC/PR 14.660</t>
        </is>
      </c>
      <c r="D42" s="33" t="inlineStr">
        <is>
          <t>Sócio administrador</t>
        </is>
      </c>
    </row>
    <row r="43" ht="15" customHeight="1">
      <c r="B43" s="7" t="inlineStr">
        <is>
          <t>CPF: 838.177.519-15</t>
        </is>
      </c>
      <c r="D43" s="33" t="inlineStr">
        <is>
          <t>CPF/MF: 387.775.838-09</t>
        </is>
      </c>
    </row>
    <row r="44"/>
  </sheetData>
  <mergeCells count="4">
    <mergeCell ref="B1:E1"/>
    <mergeCell ref="B3:E3"/>
    <mergeCell ref="B2:E2"/>
    <mergeCell ref="B4:E4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1B2A4A"/>
    <outlinePr summaryBelow="1" summaryRight="1"/>
    <pageSetUpPr/>
  </sheetPr>
  <dimension ref="A1:I44"/>
  <sheetViews>
    <sheetView topLeftCell="A13" zoomScaleNormal="100" workbookViewId="0">
      <selection activeCell="D30" sqref="D30"/>
    </sheetView>
  </sheetViews>
  <sheetFormatPr baseColWidth="8" defaultColWidth="8.7109375" defaultRowHeight="15"/>
  <cols>
    <col width="3.28515625" customWidth="1" min="1" max="1"/>
    <col width="12" customWidth="1" min="2" max="2"/>
    <col width="39" customWidth="1" min="3" max="3"/>
    <col width="31.28515625" customWidth="1" min="4" max="4"/>
    <col width="20" customWidth="1" style="61" min="5" max="5"/>
    <col width="16" customWidth="1" min="6" max="6"/>
  </cols>
  <sheetData>
    <row r="1" ht="30" customHeight="1">
      <c r="B1" s="68" t="inlineStr">
        <is>
          <t>Balanço Patrimonial — PASSIVO</t>
        </is>
      </c>
      <c r="F1" s="1" t="n">
        <v>17910161.85</v>
      </c>
    </row>
    <row r="2" ht="15" customHeight="1">
      <c r="B2" s="67" t="inlineStr">
        <is>
          <t>Encerrado em 31 de Dezembro de 2025  |  Valores em R$</t>
        </is>
      </c>
    </row>
    <row r="3" ht="15" customHeight="1">
      <c r="B3" s="69" t="inlineStr">
        <is>
          <t>[EMPRESA AUDITADA] — CNPJ/MF 00.000.000/0001-00</t>
        </is>
      </c>
    </row>
    <row r="4"/>
    <row r="5" ht="15" customHeight="1">
      <c r="B5" s="70" t="inlineStr">
        <is>
          <t xml:space="preserve">  2 — PASSIVO</t>
        </is>
      </c>
    </row>
    <row r="6" ht="24.75" customHeight="1">
      <c r="B6" s="15" t="inlineStr">
        <is>
          <t>CÓDIGO</t>
        </is>
      </c>
      <c r="C6" s="15" t="inlineStr">
        <is>
          <t>DESCRIÇÃO DA CONTA</t>
        </is>
      </c>
      <c r="D6" s="15" t="inlineStr">
        <is>
          <t>2025 (R$)</t>
        </is>
      </c>
      <c r="E6" s="27" t="inlineStr">
        <is>
          <t>2024 (R$)</t>
        </is>
      </c>
    </row>
    <row r="7" ht="15" customHeight="1">
      <c r="B7" s="16" t="inlineStr">
        <is>
          <t>2.1</t>
        </is>
      </c>
      <c r="C7" s="17" t="inlineStr">
        <is>
          <t>PASSIVO CIRCULANTE</t>
        </is>
      </c>
      <c r="D7" s="18">
        <f>D8</f>
        <v/>
      </c>
      <c r="E7" s="28">
        <f>E8</f>
        <v/>
      </c>
    </row>
    <row r="8" ht="15" customHeight="1">
      <c r="B8" s="16" t="inlineStr">
        <is>
          <t>2.1.1</t>
        </is>
      </c>
      <c r="C8" s="19" t="inlineStr">
        <is>
          <t>OBRIGAÇÕES</t>
        </is>
      </c>
      <c r="D8" s="18">
        <f>SUM(D9:D13)</f>
        <v/>
      </c>
      <c r="E8" s="28">
        <f>SUM(E9:E13)</f>
        <v/>
      </c>
    </row>
    <row r="9" ht="15" customHeight="1">
      <c r="B9" s="16" t="inlineStr">
        <is>
          <t>2.1.1.001</t>
        </is>
      </c>
      <c r="C9" s="20" t="inlineStr">
        <is>
          <t>Fornecedores</t>
        </is>
      </c>
      <c r="D9" s="21" t="n">
        <v>0</v>
      </c>
      <c r="E9" s="29">
        <f>0.00833211398366006*'BP Passivo'!$F$1</f>
        <v/>
      </c>
    </row>
    <row r="10" ht="15" customHeight="1">
      <c r="B10" s="16" t="inlineStr">
        <is>
          <t>2.1.1.002</t>
        </is>
      </c>
      <c r="C10" s="20" t="inlineStr">
        <is>
          <t>Obrigações Fiscais</t>
        </is>
      </c>
      <c r="D10" s="21">
        <f>0.0299999997720956*Faturamento!D19</f>
        <v/>
      </c>
      <c r="E10" s="29">
        <f>0.0713000000053042*'BP Passivo'!$F$1</f>
        <v/>
      </c>
    </row>
    <row r="11" ht="15" customHeight="1">
      <c r="B11" s="16" t="inlineStr">
        <is>
          <t>2.1.1.003</t>
        </is>
      </c>
      <c r="C11" s="20" t="inlineStr">
        <is>
          <t>Imposto de Renda a Pagar</t>
        </is>
      </c>
      <c r="D11" s="21">
        <f>0.022097327678201*Faturamento!D19</f>
        <v/>
      </c>
      <c r="E11" s="29" t="n">
        <v>0</v>
      </c>
    </row>
    <row r="12" ht="15" customHeight="1">
      <c r="B12" s="16" t="inlineStr">
        <is>
          <t>2.1.1.004</t>
        </is>
      </c>
      <c r="C12" s="20" t="inlineStr">
        <is>
          <t>Obrigações Sociais e Trabalhistas</t>
        </is>
      </c>
      <c r="D12" s="21">
        <f>0.00598469288119272*Faturamento!D19</f>
        <v/>
      </c>
      <c r="E12" s="29">
        <f>0.00519569397414463*'BP Passivo'!$F$1</f>
        <v/>
      </c>
    </row>
    <row r="13" ht="15" customHeight="1">
      <c r="B13" s="16" t="inlineStr">
        <is>
          <t>2.1.1.005</t>
        </is>
      </c>
      <c r="C13" s="20" t="inlineStr">
        <is>
          <t>Outras Contas a Pagar</t>
        </is>
      </c>
      <c r="D13" s="21">
        <f>0.00112086124732951*Faturamento!D19</f>
        <v/>
      </c>
      <c r="E13" s="29">
        <f>0.00411720455781364*'BP Passivo'!$F$1</f>
        <v/>
      </c>
    </row>
    <row r="14" ht="15" customHeight="1">
      <c r="B14" s="16" t="inlineStr">
        <is>
          <t>2.2</t>
        </is>
      </c>
      <c r="C14" s="17" t="inlineStr">
        <is>
          <t>NÃO CIRCULANTE</t>
        </is>
      </c>
      <c r="D14" s="18">
        <f>D15</f>
        <v/>
      </c>
      <c r="E14" s="28">
        <f>E15</f>
        <v/>
      </c>
    </row>
    <row r="15" ht="15" customHeight="1">
      <c r="B15" s="16" t="inlineStr">
        <is>
          <t>2.2.1</t>
        </is>
      </c>
      <c r="C15" s="19" t="inlineStr">
        <is>
          <t>OBRIGAÇÕES</t>
        </is>
      </c>
      <c r="D15" s="18">
        <f>SUM(D16:D18)</f>
        <v/>
      </c>
      <c r="E15" s="28">
        <f>SUM(E16:E18)</f>
        <v/>
      </c>
    </row>
    <row r="16" ht="15" customHeight="1">
      <c r="B16" s="16" t="inlineStr">
        <is>
          <t>2.2.1.001</t>
        </is>
      </c>
      <c r="C16" s="20" t="inlineStr">
        <is>
          <t>Fornecedores a Pagar LP</t>
        </is>
      </c>
      <c r="D16" s="21" t="n">
        <v>0</v>
      </c>
      <c r="E16" s="29">
        <f>0.0356406382782074*'BP Passivo'!$F$1</f>
        <v/>
      </c>
    </row>
    <row r="17" ht="15" customHeight="1">
      <c r="B17" s="16" t="inlineStr">
        <is>
          <t>2.2.1.002</t>
        </is>
      </c>
      <c r="C17" s="20" t="inlineStr">
        <is>
          <t>Empréstimos Bancários</t>
        </is>
      </c>
      <c r="D17" s="21" t="n">
        <v>0</v>
      </c>
      <c r="E17" s="29" t="n">
        <v>0</v>
      </c>
    </row>
    <row r="18" ht="15" customHeight="1">
      <c r="B18" s="16" t="inlineStr">
        <is>
          <t>2.2.1.003</t>
        </is>
      </c>
      <c r="C18" s="20" t="inlineStr">
        <is>
          <t>Outras Contas a Pagar LP</t>
        </is>
      </c>
      <c r="D18" s="21" t="n">
        <v>0</v>
      </c>
      <c r="E18" s="29">
        <f>0.00392047043393971*'BP Passivo'!$F$1</f>
        <v/>
      </c>
    </row>
    <row r="19" ht="15" customHeight="1">
      <c r="B19" s="16" t="inlineStr">
        <is>
          <t>2.3</t>
        </is>
      </c>
      <c r="C19" s="17" t="inlineStr">
        <is>
          <t>RESULTADOS DE EXERCÍCIOS FUTUROS</t>
        </is>
      </c>
      <c r="D19" s="18">
        <f>SUM(D20:D21)</f>
        <v/>
      </c>
      <c r="E19" s="28">
        <f>SUM(E20:E21)</f>
        <v/>
      </c>
    </row>
    <row r="20" ht="15" customHeight="1">
      <c r="B20" s="16" t="inlineStr">
        <is>
          <t>2.3.001</t>
        </is>
      </c>
      <c r="C20" s="20" t="inlineStr">
        <is>
          <t>Aluguéis Ativos a Vencer</t>
        </is>
      </c>
      <c r="D20" s="21" t="n">
        <v>0</v>
      </c>
      <c r="E20" s="29">
        <f>0.000103293315576598*'BP Passivo'!$F$1</f>
        <v/>
      </c>
    </row>
    <row r="21" ht="15" customHeight="1">
      <c r="B21" s="16" t="inlineStr">
        <is>
          <t>2.3.002</t>
        </is>
      </c>
      <c r="C21" s="20" t="inlineStr">
        <is>
          <t>Outras Receitas a Vencer</t>
        </is>
      </c>
      <c r="D21" s="21" t="n">
        <v>0</v>
      </c>
      <c r="E21" s="29">
        <f>0.00347400489850961*'BP Passivo'!$F$1</f>
        <v/>
      </c>
    </row>
    <row r="22" ht="15" customHeight="1">
      <c r="B22" s="16" t="inlineStr">
        <is>
          <t>2.4</t>
        </is>
      </c>
      <c r="C22" s="17" t="inlineStr">
        <is>
          <t>PATRIMÔNIO LÍQUIDO</t>
        </is>
      </c>
      <c r="D22" s="18">
        <f>D23+D26+D28+D31</f>
        <v/>
      </c>
      <c r="E22" s="28">
        <f>E23+E26+E28+E31</f>
        <v/>
      </c>
    </row>
    <row r="23" ht="15" customHeight="1">
      <c r="B23" s="16" t="inlineStr">
        <is>
          <t>2.4.1</t>
        </is>
      </c>
      <c r="C23" s="19" t="inlineStr">
        <is>
          <t>CAPITAL SOCIAL</t>
        </is>
      </c>
      <c r="D23" s="18">
        <f>SUM(D24:D25)</f>
        <v/>
      </c>
      <c r="E23" s="28">
        <f>SUM(E24:E25)</f>
        <v/>
      </c>
    </row>
    <row r="24" ht="15" customHeight="1">
      <c r="B24" s="16" t="inlineStr">
        <is>
          <t>2.4.1.001</t>
        </is>
      </c>
      <c r="C24" s="20" t="inlineStr">
        <is>
          <t>Capital</t>
        </is>
      </c>
      <c r="D24" s="62">
        <f>Cadastro!C8</f>
        <v/>
      </c>
      <c r="E24" s="28" t="n">
        <v>200000</v>
      </c>
    </row>
    <row r="25" ht="15" customHeight="1">
      <c r="B25" s="16" t="inlineStr">
        <is>
          <t>2.4.1.002</t>
        </is>
      </c>
      <c r="C25" s="20" t="inlineStr">
        <is>
          <t>(-) Capital a Realizar</t>
        </is>
      </c>
      <c r="D25" s="21" t="n">
        <v>0</v>
      </c>
      <c r="E25" s="29" t="n">
        <v>0</v>
      </c>
    </row>
    <row r="26" ht="15" customHeight="1">
      <c r="B26" s="16" t="inlineStr">
        <is>
          <t>2.4.2</t>
        </is>
      </c>
      <c r="C26" s="19" t="inlineStr">
        <is>
          <t>RESERVAS DE LUCROS</t>
        </is>
      </c>
      <c r="D26" s="18">
        <f>SUM(D27:D27)</f>
        <v/>
      </c>
      <c r="E26" s="28">
        <f>SUM(E27:E27)</f>
        <v/>
      </c>
    </row>
    <row r="27" ht="15" customHeight="1">
      <c r="B27" s="16" t="inlineStr">
        <is>
          <t>2.4.2.001</t>
        </is>
      </c>
      <c r="C27" s="20" t="inlineStr">
        <is>
          <t>Reserva Legal</t>
        </is>
      </c>
      <c r="D27" s="31">
        <f>Faturamento!D19*3.81%</f>
        <v/>
      </c>
      <c r="E27" s="28" t="n">
        <v>791076.6899999999</v>
      </c>
    </row>
    <row r="28" ht="15" customHeight="1">
      <c r="B28" s="16" t="inlineStr">
        <is>
          <t>2.4.3</t>
        </is>
      </c>
      <c r="C28" s="19" t="inlineStr">
        <is>
          <t>LUCROS OU PREJUÍZOS ACUMULADOS</t>
        </is>
      </c>
      <c r="D28" s="18">
        <f>SUM(D29:D30)</f>
        <v/>
      </c>
      <c r="E28" s="28">
        <f>SUM(E29:E30)</f>
        <v/>
      </c>
    </row>
    <row r="29" ht="15" customHeight="1">
      <c r="B29" s="16" t="inlineStr">
        <is>
          <t>2.4.3.001</t>
        </is>
      </c>
      <c r="C29" s="20" t="inlineStr">
        <is>
          <t>Lucros Acumulados</t>
        </is>
      </c>
      <c r="D29" s="25" t="n">
        <v>5765566.2</v>
      </c>
      <c r="E29" s="29" t="n">
        <v>0</v>
      </c>
    </row>
    <row r="30" ht="15" customHeight="1">
      <c r="B30" s="16" t="inlineStr">
        <is>
          <t>2.4.3.002</t>
        </is>
      </c>
      <c r="C30" s="20" t="inlineStr">
        <is>
          <t>(-) Prejuízos Acumulados</t>
        </is>
      </c>
      <c r="D30" s="21" t="n">
        <v>0</v>
      </c>
      <c r="E30" s="29" t="n">
        <v>0</v>
      </c>
    </row>
    <row r="31" ht="15" customHeight="1">
      <c r="B31" s="16" t="inlineStr">
        <is>
          <t>2.4.4</t>
        </is>
      </c>
      <c r="C31" s="19" t="inlineStr">
        <is>
          <t>LUCRO DO PERÍODO</t>
        </is>
      </c>
      <c r="D31" s="18">
        <f>SUM(D32:D32)</f>
        <v/>
      </c>
      <c r="E31" s="28">
        <f>SUM(E32:E32)</f>
        <v/>
      </c>
    </row>
    <row r="32" ht="15" customHeight="1">
      <c r="B32" s="16" t="inlineStr">
        <is>
          <t>2.4.4.001</t>
        </is>
      </c>
      <c r="C32" s="20" t="inlineStr">
        <is>
          <t>Lucro do Exercício</t>
        </is>
      </c>
      <c r="D32" s="21">
        <f>DRE!D25</f>
        <v/>
      </c>
      <c r="E32" s="28" t="n">
        <v>2463883.65</v>
      </c>
    </row>
    <row r="33" ht="24.75" customHeight="1">
      <c r="C33" s="22" t="inlineStr">
        <is>
          <t>TOTAL DO PASSIVO</t>
        </is>
      </c>
      <c r="D33" s="23">
        <f>D7+D14+D19+D22</f>
        <v/>
      </c>
      <c r="E33" s="30">
        <f>E7+E14+E19+E22</f>
        <v/>
      </c>
    </row>
    <row r="34"/>
    <row r="35" ht="15" customHeight="1">
      <c r="B35" s="6" t="inlineStr">
        <is>
          <t>NILSON / CONTADOR RESPONSÁVEL</t>
        </is>
      </c>
      <c r="D35" s="6" t="inlineStr">
        <is>
          <t>[SÓCIO ADMINISTRADOR]</t>
        </is>
      </c>
    </row>
    <row r="36" ht="15" customHeight="1">
      <c r="B36" s="7" t="inlineStr">
        <is>
          <t>Contador - CRC/PR 14.660</t>
        </is>
      </c>
      <c r="D36" s="7" t="inlineStr">
        <is>
          <t>Sócio administrador</t>
        </is>
      </c>
    </row>
    <row r="37" ht="15" customHeight="1">
      <c r="B37" s="7" t="inlineStr">
        <is>
          <t>CPF: 838.177.519-15</t>
        </is>
      </c>
      <c r="D37" s="7" t="inlineStr">
        <is>
          <t>CPF/MF: 387.775.838-09</t>
        </is>
      </c>
    </row>
    <row r="38"/>
    <row r="39"/>
    <row r="40"/>
    <row r="41"/>
    <row r="42"/>
    <row r="43"/>
    <row r="44"/>
  </sheetData>
  <mergeCells count="4">
    <mergeCell ref="B2:E2"/>
    <mergeCell ref="B1:E1"/>
    <mergeCell ref="B3:E3"/>
    <mergeCell ref="B5:E5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1B2A4A"/>
    <outlinePr summaryBelow="1" summaryRight="1"/>
    <pageSetUpPr/>
  </sheetPr>
  <dimension ref="A1:I44"/>
  <sheetViews>
    <sheetView tabSelected="1" zoomScaleNormal="100" workbookViewId="0">
      <selection activeCell="C28" sqref="C28"/>
    </sheetView>
  </sheetViews>
  <sheetFormatPr baseColWidth="8" defaultColWidth="8.7109375" defaultRowHeight="15"/>
  <cols>
    <col width="0.28515625" customWidth="1" min="1" max="1"/>
    <col width="10.5703125" customWidth="1" min="2" max="2"/>
    <col width="43.28515625" customWidth="1" min="3" max="3"/>
    <col width="32" customWidth="1" min="4" max="4"/>
    <col width="27" customWidth="1" min="5" max="5"/>
    <col width="16" customWidth="1" min="7" max="7"/>
  </cols>
  <sheetData>
    <row r="1" ht="30" customHeight="1">
      <c r="B1" s="71" t="inlineStr">
        <is>
          <t>Demonstrativo de Resultado</t>
        </is>
      </c>
      <c r="G1" s="1" t="n">
        <v>17910161.85</v>
      </c>
    </row>
    <row r="2" ht="15" customHeight="1">
      <c r="B2" s="69">
        <f>Cadastro!C16</f>
        <v/>
      </c>
    </row>
    <row r="3" ht="15" customHeight="1">
      <c r="B3" s="69" t="inlineStr">
        <is>
          <t>[EMPRESA AUDITADA] — CNPJ/MF 00.000.000/0001-00</t>
        </is>
      </c>
    </row>
    <row r="4"/>
    <row r="5" ht="15" customHeight="1">
      <c r="B5" s="70" t="inlineStr">
        <is>
          <t xml:space="preserve">  DRE — DEMONSTRATIVO DE RESULTADO DO EXERCÍCIO</t>
        </is>
      </c>
    </row>
    <row r="6" ht="24.75" customFormat="1" customHeight="1" s="26">
      <c r="B6" s="15" t="inlineStr">
        <is>
          <t>CÓDIGO</t>
        </is>
      </c>
      <c r="C6" s="15" t="inlineStr">
        <is>
          <t>DESCRIÇÃO DA CONTA</t>
        </is>
      </c>
      <c r="D6" s="15" t="inlineStr">
        <is>
          <t>2025 (R$)</t>
        </is>
      </c>
      <c r="E6" s="15" t="inlineStr">
        <is>
          <t>2024 (R$)</t>
        </is>
      </c>
    </row>
    <row r="7" ht="15" customHeight="1">
      <c r="B7" s="16" t="inlineStr">
        <is>
          <t>4</t>
        </is>
      </c>
      <c r="C7" s="17" t="inlineStr">
        <is>
          <t>RECEITA BRUTA DE VENDAS</t>
        </is>
      </c>
      <c r="D7" s="18">
        <f>D8</f>
        <v/>
      </c>
      <c r="E7" s="18">
        <f>E8</f>
        <v/>
      </c>
    </row>
    <row r="8" ht="15" customHeight="1">
      <c r="B8" s="16" t="inlineStr">
        <is>
          <t>4.1</t>
        </is>
      </c>
      <c r="C8" s="19" t="inlineStr">
        <is>
          <t>Receita Bruta de Vendas</t>
        </is>
      </c>
      <c r="D8" s="21">
        <f>Faturamento!D19</f>
        <v/>
      </c>
      <c r="E8" s="24" t="n">
        <v>17910161.85</v>
      </c>
    </row>
    <row r="9" ht="15" customHeight="1">
      <c r="B9" s="16" t="inlineStr">
        <is>
          <t>(-)4.1.2</t>
        </is>
      </c>
      <c r="C9" s="19" t="inlineStr">
        <is>
          <t>DEDUÇÕES DA RECEITA BRUTA</t>
        </is>
      </c>
      <c r="D9" s="18">
        <f>D10</f>
        <v/>
      </c>
      <c r="E9" s="18">
        <f>E10</f>
        <v/>
      </c>
    </row>
    <row r="10" ht="15" customHeight="1">
      <c r="B10" s="16" t="inlineStr">
        <is>
          <t>4.1.2.001</t>
        </is>
      </c>
      <c r="C10" s="20" t="inlineStr">
        <is>
          <t>Deduções e Abatimentos de Vendas e Serviços</t>
        </is>
      </c>
      <c r="D10" s="21">
        <f>0.038289084809646*Faturamento!D19</f>
        <v/>
      </c>
      <c r="E10" s="21">
        <f>0.0884747281052628*DRE!$G$1</f>
        <v/>
      </c>
    </row>
    <row r="11" ht="15" customHeight="1">
      <c r="B11" s="16" t="inlineStr">
        <is>
          <t>4.1.1</t>
        </is>
      </c>
      <c r="C11" s="17" t="inlineStr">
        <is>
          <t>RECEITA LÍQUIDA DE VENDAS</t>
        </is>
      </c>
      <c r="D11" s="18">
        <f>D7-D9</f>
        <v/>
      </c>
      <c r="E11" s="18">
        <f>E7-E9</f>
        <v/>
      </c>
    </row>
    <row r="12" ht="15" customHeight="1">
      <c r="B12" s="16" t="inlineStr">
        <is>
          <t>(-)4.1.1.007</t>
        </is>
      </c>
      <c r="C12" s="19" t="inlineStr">
        <is>
          <t>CUSTO DAS MERCADORIAS VENDIDAS – CMV</t>
        </is>
      </c>
      <c r="D12" s="18">
        <f>D13</f>
        <v/>
      </c>
      <c r="E12" s="18">
        <f>E13</f>
        <v/>
      </c>
    </row>
    <row r="13" ht="15" customHeight="1">
      <c r="B13" s="16" t="inlineStr">
        <is>
          <t>4.1.1.007a</t>
        </is>
      </c>
      <c r="C13" s="20" t="inlineStr">
        <is>
          <t>Custo das Mercadorias Vendidas</t>
        </is>
      </c>
      <c r="D13" s="21">
        <f>0.715945999953816*Faturamento!D19</f>
        <v/>
      </c>
      <c r="E13" s="21">
        <f>0.638120697384988*DRE!$G$1</f>
        <v/>
      </c>
    </row>
    <row r="14" ht="15" customHeight="1">
      <c r="B14" s="16" t="inlineStr">
        <is>
          <t>5</t>
        </is>
      </c>
      <c r="C14" s="17" t="inlineStr">
        <is>
          <t>LUCRO BRUTO</t>
        </is>
      </c>
      <c r="D14" s="18">
        <f>D11-D12</f>
        <v/>
      </c>
      <c r="E14" s="18">
        <f>E11-E12</f>
        <v/>
      </c>
    </row>
    <row r="15" ht="15" customHeight="1">
      <c r="B15" s="16" t="inlineStr">
        <is>
          <t>3.3</t>
        </is>
      </c>
      <c r="C15" s="19" t="inlineStr">
        <is>
          <t>DESPESAS OPERACIONAIS</t>
        </is>
      </c>
      <c r="D15" s="18">
        <f>D16+D17+D18</f>
        <v/>
      </c>
      <c r="E15" s="18">
        <f>E16+E17+E18</f>
        <v/>
      </c>
    </row>
    <row r="16" ht="15" customHeight="1">
      <c r="B16" s="16" t="inlineStr">
        <is>
          <t>3.3.2</t>
        </is>
      </c>
      <c r="C16" s="19" t="inlineStr">
        <is>
          <t>Despesas Administrativas</t>
        </is>
      </c>
      <c r="D16" s="21">
        <f>0.0219667318661517*Faturamento!D19</f>
        <v/>
      </c>
      <c r="E16" s="21">
        <f>0.0383318529307428*DRE!$G$1</f>
        <v/>
      </c>
    </row>
    <row r="17" ht="15" customHeight="1">
      <c r="B17" s="16" t="inlineStr">
        <is>
          <t>3.3.9</t>
        </is>
      </c>
      <c r="C17" s="19" t="inlineStr">
        <is>
          <t>Serviços de Terceiros</t>
        </is>
      </c>
      <c r="D17" s="21">
        <f>0.0296587250698497*Faturamento!D19</f>
        <v/>
      </c>
      <c r="E17" s="21">
        <f>0.0671290890651555*DRE!$G$1</f>
        <v/>
      </c>
    </row>
    <row r="18" ht="15" customHeight="1">
      <c r="B18" s="16" t="inlineStr">
        <is>
          <t>3.3.3</t>
        </is>
      </c>
      <c r="C18" s="19" t="inlineStr">
        <is>
          <t>Despesas Financeiras</t>
        </is>
      </c>
      <c r="D18" s="21">
        <f>0.00596140307609118*Faturamento!D19</f>
        <v/>
      </c>
      <c r="E18" s="21">
        <f>0.0104275718759069*DRE!$G$1</f>
        <v/>
      </c>
    </row>
    <row r="19" ht="15" customHeight="1">
      <c r="B19" s="16" t="inlineStr">
        <is>
          <t>5.1</t>
        </is>
      </c>
      <c r="C19" s="17" t="inlineStr">
        <is>
          <t>LUCRO OPERACIONAL</t>
        </is>
      </c>
      <c r="D19" s="18">
        <f>D14-D15</f>
        <v/>
      </c>
      <c r="E19" s="18">
        <f>E14-E15</f>
        <v/>
      </c>
    </row>
    <row r="20" ht="15" customHeight="1">
      <c r="B20" s="16" t="inlineStr">
        <is>
          <t>5.1a</t>
        </is>
      </c>
      <c r="C20" s="19" t="inlineStr">
        <is>
          <t>(-) Despesa com Provisão para CSLL</t>
        </is>
      </c>
      <c r="D20" s="21">
        <f>'Faturamento Impostos'!F19</f>
        <v/>
      </c>
      <c r="E20" s="21">
        <f>0.000856202759552393*DRE!$G$1</f>
        <v/>
      </c>
    </row>
    <row r="21" ht="15" customHeight="1">
      <c r="B21" s="16" t="inlineStr">
        <is>
          <t>5.1.1</t>
        </is>
      </c>
      <c r="C21" s="17" t="inlineStr">
        <is>
          <t>RESULTADO ANTES DO IMPOSTO DE RENDA</t>
        </is>
      </c>
      <c r="D21" s="18">
        <f>D19-D20</f>
        <v/>
      </c>
      <c r="E21" s="18">
        <f>E19-E20</f>
        <v/>
      </c>
    </row>
    <row r="22" ht="15" customHeight="1">
      <c r="B22" s="16" t="inlineStr">
        <is>
          <t>5.1.1.001</t>
        </is>
      </c>
      <c r="C22" s="19" t="inlineStr">
        <is>
          <t>(-) Despesa com Provisão para Imposto de Renda</t>
        </is>
      </c>
      <c r="D22" s="21">
        <f>'Faturamento Impostos'!G19</f>
        <v/>
      </c>
      <c r="E22" s="21">
        <f>0.00190267236473913*DRE!$G$1</f>
        <v/>
      </c>
    </row>
    <row r="23" ht="15" customHeight="1">
      <c r="B23" s="16" t="inlineStr">
        <is>
          <t>5.1.1.002</t>
        </is>
      </c>
      <c r="C23" s="17" t="inlineStr">
        <is>
          <t>RESULTADO ANTES DAS PARTICIPAÇÕES</t>
        </is>
      </c>
      <c r="D23" s="18">
        <f>D21-D22</f>
        <v/>
      </c>
      <c r="E23" s="18">
        <f>E21-E22</f>
        <v/>
      </c>
    </row>
    <row r="24" ht="15" customHeight="1">
      <c r="B24" s="16" t="inlineStr">
        <is>
          <t>5.1.1.002a</t>
        </is>
      </c>
      <c r="C24" s="19" t="inlineStr">
        <is>
          <t>(-) Participações</t>
        </is>
      </c>
      <c r="D24" s="21">
        <f>0.0151742049541289*Faturamento!D19</f>
        <v/>
      </c>
      <c r="E24" s="21">
        <f>0.0171881523225877*DRE!$G$1</f>
        <v/>
      </c>
    </row>
    <row r="25" ht="15" customHeight="1">
      <c r="B25" s="16" t="inlineStr">
        <is>
          <t>5.1.1.003</t>
        </is>
      </c>
      <c r="C25" s="17" t="inlineStr">
        <is>
          <t>LUCRO LÍQUIDO DO EXERCÍCIO</t>
        </is>
      </c>
      <c r="D25" s="18">
        <f>D23-D24</f>
        <v/>
      </c>
      <c r="E25" s="18">
        <f>E23-E24</f>
        <v/>
      </c>
    </row>
    <row r="26"/>
    <row r="27" ht="15" customHeight="1">
      <c r="B27" s="6" t="inlineStr">
        <is>
          <t>NILSON / CONTADOR RESPONSÁVEL</t>
        </is>
      </c>
      <c r="D27" s="6" t="inlineStr">
        <is>
          <t>[SÓCIO ADMINISTRADOR]</t>
        </is>
      </c>
    </row>
    <row r="28" ht="15" customHeight="1">
      <c r="B28" s="7" t="inlineStr">
        <is>
          <t>Contador - CRC/PR 14.660</t>
        </is>
      </c>
      <c r="D28" s="7" t="inlineStr">
        <is>
          <t>Sócio administrador</t>
        </is>
      </c>
    </row>
    <row r="29" ht="15" customHeight="1">
      <c r="B29" s="7" t="inlineStr">
        <is>
          <t>CPF: 838.177.519-15</t>
        </is>
      </c>
      <c r="D29" s="7" t="inlineStr">
        <is>
          <t>CPF/MF: 387.775.838-09</t>
        </is>
      </c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</sheetData>
  <mergeCells count="4">
    <mergeCell ref="B2:E2"/>
    <mergeCell ref="B1:E1"/>
    <mergeCell ref="B3:E3"/>
    <mergeCell ref="B5:E5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1B2A4A"/>
    <outlinePr summaryBelow="1" summaryRight="1"/>
    <pageSetUpPr/>
  </sheetPr>
  <dimension ref="A1:I44"/>
  <sheetViews>
    <sheetView workbookViewId="0">
      <selection activeCell="C2" sqref="C2"/>
    </sheetView>
  </sheetViews>
  <sheetFormatPr baseColWidth="8" defaultRowHeight="15"/>
  <cols>
    <col width="18.42578125" customWidth="1" min="3" max="3"/>
    <col width="17.28515625" customWidth="1" min="4" max="4"/>
    <col width="18.28515625" customWidth="1" min="5" max="5"/>
    <col width="16.42578125" customWidth="1" min="6" max="6"/>
  </cols>
  <sheetData>
    <row r="1">
      <c r="A1" s="46" t="inlineStr">
        <is>
          <t>Total desejado</t>
        </is>
      </c>
      <c r="C1" s="47" t="n">
        <v>0</v>
      </c>
    </row>
    <row r="2"/>
    <row r="3">
      <c r="A3" s="46" t="inlineStr">
        <is>
          <t>Mês referencia</t>
        </is>
      </c>
    </row>
    <row r="4"/>
    <row r="5">
      <c r="A5" s="48" t="inlineStr">
        <is>
          <t>Mês</t>
        </is>
      </c>
      <c r="B5" s="48" t="inlineStr">
        <is>
          <t>Ano</t>
        </is>
      </c>
      <c r="C5" s="48" t="inlineStr">
        <is>
          <t>Faturamento Atual (R$)</t>
        </is>
      </c>
      <c r="D5" s="48" t="inlineStr">
        <is>
          <t>Participação (%)</t>
        </is>
      </c>
      <c r="E5" s="48" t="inlineStr">
        <is>
          <t>Faturamento Projetado (R$)</t>
        </is>
      </c>
    </row>
    <row r="6">
      <c r="A6" s="49" t="inlineStr">
        <is>
          <t>Janeiro</t>
        </is>
      </c>
      <c r="B6" s="49" t="n">
        <v>2019</v>
      </c>
      <c r="C6" s="50" t="n">
        <v>807500</v>
      </c>
      <c r="D6" s="51">
        <f>C6/$C$18</f>
        <v/>
      </c>
      <c r="E6" s="50">
        <f>D6*$C$1</f>
        <v/>
      </c>
    </row>
    <row r="7">
      <c r="A7" s="49" t="inlineStr">
        <is>
          <t>Fevereiro</t>
        </is>
      </c>
      <c r="B7" s="49" t="n">
        <v>2019</v>
      </c>
      <c r="C7" s="50" t="n">
        <v>806250</v>
      </c>
      <c r="D7" s="51">
        <f>C7/$C$18</f>
        <v/>
      </c>
      <c r="E7" s="50">
        <f>D7*$C$1</f>
        <v/>
      </c>
    </row>
    <row r="8">
      <c r="A8" s="49" t="inlineStr">
        <is>
          <t>Março</t>
        </is>
      </c>
      <c r="B8" s="49" t="n">
        <v>2019</v>
      </c>
      <c r="C8" s="50" t="n">
        <v>1120000</v>
      </c>
      <c r="D8" s="51">
        <f>C8/$C$18</f>
        <v/>
      </c>
      <c r="E8" s="50">
        <f>D8*$C$1</f>
        <v/>
      </c>
    </row>
    <row r="9">
      <c r="A9" s="49" t="inlineStr">
        <is>
          <t>Abril</t>
        </is>
      </c>
      <c r="B9" s="49" t="n">
        <v>2019</v>
      </c>
      <c r="C9" s="50" t="n">
        <v>1081250</v>
      </c>
      <c r="D9" s="51">
        <f>C9/$C$18</f>
        <v/>
      </c>
      <c r="E9" s="50">
        <f>D9*$C$1</f>
        <v/>
      </c>
    </row>
    <row r="10">
      <c r="A10" s="49" t="inlineStr">
        <is>
          <t>Maio</t>
        </is>
      </c>
      <c r="B10" s="49" t="n">
        <v>2019</v>
      </c>
      <c r="C10" s="50" t="n">
        <v>991250</v>
      </c>
      <c r="D10" s="51">
        <f>C10/$C$18</f>
        <v/>
      </c>
      <c r="E10" s="50">
        <f>D10*$C$1</f>
        <v/>
      </c>
    </row>
    <row r="11">
      <c r="A11" s="49" t="inlineStr">
        <is>
          <t>Junho</t>
        </is>
      </c>
      <c r="B11" s="49" t="n">
        <v>2020</v>
      </c>
      <c r="C11" s="50" t="n">
        <v>835000</v>
      </c>
      <c r="D11" s="51">
        <f>C11/$C$18</f>
        <v/>
      </c>
      <c r="E11" s="50">
        <f>D11*$C$1</f>
        <v/>
      </c>
    </row>
    <row r="12">
      <c r="A12" s="49" t="inlineStr">
        <is>
          <t>Julho</t>
        </is>
      </c>
      <c r="B12" s="49" t="n">
        <v>2020</v>
      </c>
      <c r="C12" s="50" t="n">
        <v>981250</v>
      </c>
      <c r="D12" s="51">
        <f>C12/$C$18</f>
        <v/>
      </c>
      <c r="E12" s="50">
        <f>D12*$C$1</f>
        <v/>
      </c>
    </row>
    <row r="13">
      <c r="A13" s="49" t="inlineStr">
        <is>
          <t>Agosto</t>
        </is>
      </c>
      <c r="B13" s="49" t="n">
        <v>2020</v>
      </c>
      <c r="C13" s="50" t="n">
        <v>1086250</v>
      </c>
      <c r="D13" s="51">
        <f>C13/$C$18</f>
        <v/>
      </c>
      <c r="E13" s="50">
        <f>D13*$C$1</f>
        <v/>
      </c>
    </row>
    <row r="14">
      <c r="A14" s="49" t="inlineStr">
        <is>
          <t>Setembro</t>
        </is>
      </c>
      <c r="B14" s="49" t="n">
        <v>2020</v>
      </c>
      <c r="C14" s="50" t="n">
        <v>1191250</v>
      </c>
      <c r="D14" s="51">
        <f>C14/$C$18</f>
        <v/>
      </c>
      <c r="E14" s="50">
        <f>D14*$C$1</f>
        <v/>
      </c>
    </row>
    <row r="15">
      <c r="A15" s="49" t="inlineStr">
        <is>
          <t>Outubro</t>
        </is>
      </c>
      <c r="B15" s="49" t="n">
        <v>2020</v>
      </c>
      <c r="C15" s="50" t="n">
        <v>1012500</v>
      </c>
      <c r="D15" s="51">
        <f>C15/$C$18</f>
        <v/>
      </c>
      <c r="E15" s="50">
        <f>D15*$C$1</f>
        <v/>
      </c>
    </row>
    <row r="16">
      <c r="A16" s="49" t="inlineStr">
        <is>
          <t>Novembro</t>
        </is>
      </c>
      <c r="B16" s="49" t="n">
        <v>2020</v>
      </c>
      <c r="C16" s="50" t="n">
        <v>1091250</v>
      </c>
      <c r="D16" s="51">
        <f>C16/$C$18</f>
        <v/>
      </c>
      <c r="E16" s="50">
        <f>D16*$C$1</f>
        <v/>
      </c>
    </row>
    <row r="17">
      <c r="A17" s="49" t="inlineStr">
        <is>
          <t>Dezembro</t>
        </is>
      </c>
      <c r="B17" s="49" t="n">
        <v>2020</v>
      </c>
      <c r="C17" s="50" t="n">
        <v>1103750</v>
      </c>
      <c r="D17" s="51">
        <f>C17/$C$18</f>
        <v/>
      </c>
      <c r="E17" s="50">
        <f>D17*$C$1</f>
        <v/>
      </c>
    </row>
    <row r="18">
      <c r="A18" s="48" t="inlineStr">
        <is>
          <t>TOTAL ATUAL</t>
        </is>
      </c>
      <c r="B18" s="52" t="n"/>
      <c r="C18" s="47">
        <f>SUM(C6:C17)</f>
        <v/>
      </c>
      <c r="D18" s="52" t="n"/>
      <c r="E18" s="52" t="n"/>
    </row>
    <row r="19">
      <c r="A19" s="48" t="inlineStr">
        <is>
          <t>TOTAL PROJETADO</t>
        </is>
      </c>
      <c r="B19" s="52" t="n"/>
      <c r="C19" s="52" t="n"/>
      <c r="D19" s="53">
        <f>SUM(D6:D17)</f>
        <v/>
      </c>
      <c r="E19" s="47">
        <f>SUM(E6:E17)</f>
        <v/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</sheetData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tabColor rgb="FF1B2A4A"/>
    <outlinePr summaryBelow="1" summaryRight="1"/>
    <pageSetUpPr/>
  </sheetPr>
  <dimension ref="A1:I44"/>
  <sheetViews>
    <sheetView topLeftCell="A10" zoomScaleNormal="100" workbookViewId="0">
      <selection activeCell="B3" sqref="B3:F3"/>
    </sheetView>
  </sheetViews>
  <sheetFormatPr baseColWidth="8" defaultColWidth="8.7109375" defaultRowHeight="15"/>
  <cols>
    <col width="22" customWidth="1" min="2" max="2"/>
    <col width="11" customWidth="1" min="3" max="3"/>
    <col width="39.140625" customWidth="1" min="4" max="4"/>
    <col width="22" customWidth="1" min="5" max="5"/>
    <col width="20" customWidth="1" min="6" max="6"/>
    <col width="13.140625" customWidth="1" min="7" max="7"/>
    <col width="11.42578125" customWidth="1" min="8" max="8"/>
    <col width="11.140625" customWidth="1" min="9" max="9"/>
    <col width="11.7109375" customWidth="1" min="10" max="10"/>
  </cols>
  <sheetData>
    <row r="1" ht="30" customHeight="1">
      <c r="B1" s="68" t="inlineStr">
        <is>
          <t>Declaração de Faturamento — 12 Meses</t>
        </is>
      </c>
    </row>
    <row r="2" ht="15" customHeight="1">
      <c r="B2" s="72">
        <f>Cadastro!C17</f>
        <v/>
      </c>
    </row>
    <row r="3" ht="15" customHeight="1">
      <c r="B3" s="73" t="inlineStr">
        <is>
          <t>[EMPRESA AUDITADA] — CNPJ/MF 00.000.000/0001-00</t>
        </is>
      </c>
    </row>
    <row r="4"/>
    <row r="5" ht="15" customHeight="1">
      <c r="B5" s="70" t="inlineStr">
        <is>
          <t xml:space="preserve">  DECLARAÇÃO DE FATURAMENTO 12 MESES</t>
        </is>
      </c>
    </row>
    <row r="6" ht="24.75" customHeight="1">
      <c r="B6" s="2" t="inlineStr">
        <is>
          <t>MÊS</t>
        </is>
      </c>
      <c r="C6" s="54" t="n"/>
      <c r="D6" s="54" t="inlineStr">
        <is>
          <t>FATURAMENTO (R$)</t>
        </is>
      </c>
      <c r="E6" s="56" t="inlineStr">
        <is>
          <t>ACUMULADO (R$)</t>
        </is>
      </c>
    </row>
    <row r="7" ht="19.5" customHeight="1">
      <c r="B7" s="4" t="inlineStr">
        <is>
          <t>JANEIRO</t>
        </is>
      </c>
      <c r="C7" s="63" t="n">
        <v>2023</v>
      </c>
      <c r="D7" s="55">
        <f>'Faturamento Projetado'!E6</f>
        <v/>
      </c>
      <c r="E7" s="57">
        <f>D7</f>
        <v/>
      </c>
    </row>
    <row r="8" ht="19.5" customHeight="1">
      <c r="B8" s="4" t="inlineStr">
        <is>
          <t>FEVEREIRO</t>
        </is>
      </c>
      <c r="C8" s="63" t="n">
        <v>2023</v>
      </c>
      <c r="D8" s="55">
        <f>'Faturamento Projetado'!E7</f>
        <v/>
      </c>
      <c r="E8" s="57">
        <f>E7+D8</f>
        <v/>
      </c>
    </row>
    <row r="9" ht="19.5" customHeight="1">
      <c r="B9" s="4" t="inlineStr">
        <is>
          <t>MARÇO</t>
        </is>
      </c>
      <c r="C9" s="63" t="n">
        <v>2023</v>
      </c>
      <c r="D9" s="55">
        <f>'Faturamento Projetado'!E8</f>
        <v/>
      </c>
      <c r="E9" s="57">
        <f>E8+D9</f>
        <v/>
      </c>
    </row>
    <row r="10" ht="19.5" customHeight="1">
      <c r="B10" s="4" t="inlineStr">
        <is>
          <t>ABRIL</t>
        </is>
      </c>
      <c r="C10" s="63" t="n">
        <v>2023</v>
      </c>
      <c r="D10" s="55">
        <f>'Faturamento Projetado'!E9</f>
        <v/>
      </c>
      <c r="E10" s="57">
        <f>E9+D10</f>
        <v/>
      </c>
    </row>
    <row r="11" ht="19.5" customHeight="1">
      <c r="B11" s="4" t="inlineStr">
        <is>
          <t>MAIO</t>
        </is>
      </c>
      <c r="C11" s="63" t="n">
        <v>2023</v>
      </c>
      <c r="D11" s="55">
        <f>'Faturamento Projetado'!E10</f>
        <v/>
      </c>
      <c r="E11" s="57">
        <f>E10+D11</f>
        <v/>
      </c>
    </row>
    <row r="12" ht="19.5" customHeight="1">
      <c r="B12" s="4" t="inlineStr">
        <is>
          <t>JUNHO</t>
        </is>
      </c>
      <c r="C12" s="63" t="n">
        <v>2023</v>
      </c>
      <c r="D12" s="55">
        <f>'Faturamento Projetado'!E11</f>
        <v/>
      </c>
      <c r="E12" s="57">
        <f>E11+D12</f>
        <v/>
      </c>
    </row>
    <row r="13" ht="19.5" customHeight="1">
      <c r="B13" s="4" t="inlineStr">
        <is>
          <t>JULHO</t>
        </is>
      </c>
      <c r="C13" s="63" t="n">
        <v>2023</v>
      </c>
      <c r="D13" s="55">
        <f>'Faturamento Projetado'!E12</f>
        <v/>
      </c>
      <c r="E13" s="57">
        <f>E12+D13</f>
        <v/>
      </c>
    </row>
    <row r="14" ht="19.5" customHeight="1">
      <c r="B14" s="4" t="inlineStr">
        <is>
          <t>AGOSTO</t>
        </is>
      </c>
      <c r="C14" s="63" t="n">
        <v>2023</v>
      </c>
      <c r="D14" s="55">
        <f>'Faturamento Projetado'!E13</f>
        <v/>
      </c>
      <c r="E14" s="57">
        <f>E13+D14</f>
        <v/>
      </c>
    </row>
    <row r="15" ht="19.5" customHeight="1">
      <c r="B15" s="4" t="inlineStr">
        <is>
          <t>SETEMBRO</t>
        </is>
      </c>
      <c r="C15" s="63" t="n">
        <v>2023</v>
      </c>
      <c r="D15" s="55">
        <f>'Faturamento Projetado'!E14</f>
        <v/>
      </c>
      <c r="E15" s="57">
        <f>E14+D15</f>
        <v/>
      </c>
    </row>
    <row r="16" ht="19.5" customHeight="1">
      <c r="B16" s="4" t="inlineStr">
        <is>
          <t>OUTUBRO</t>
        </is>
      </c>
      <c r="C16" s="63" t="n">
        <v>2023</v>
      </c>
      <c r="D16" s="55">
        <f>'Faturamento Projetado'!E15</f>
        <v/>
      </c>
      <c r="E16" s="57">
        <f>E15+D16</f>
        <v/>
      </c>
    </row>
    <row r="17" ht="19.5" customHeight="1">
      <c r="B17" s="4" t="inlineStr">
        <is>
          <t>NOVEMBRO</t>
        </is>
      </c>
      <c r="C17" s="63" t="n">
        <v>2023</v>
      </c>
      <c r="D17" s="55">
        <f>'Faturamento Projetado'!E16</f>
        <v/>
      </c>
      <c r="E17" s="57">
        <f>E16+D17</f>
        <v/>
      </c>
    </row>
    <row r="18" ht="19.5" customHeight="1">
      <c r="B18" s="4" t="inlineStr">
        <is>
          <t>DEZEMBRO</t>
        </is>
      </c>
      <c r="C18" s="63" t="n">
        <v>2023</v>
      </c>
      <c r="D18" s="55">
        <f>'Faturamento Projetado'!E17</f>
        <v/>
      </c>
      <c r="E18" s="57">
        <f>E17+D18</f>
        <v/>
      </c>
    </row>
    <row r="19" ht="24.75" customHeight="1">
      <c r="B19" s="9" t="inlineStr">
        <is>
          <t>TOTAL</t>
        </is>
      </c>
      <c r="C19" s="9" t="n"/>
      <c r="D19" s="10">
        <f>'Faturamento Projetado'!E19</f>
        <v/>
      </c>
      <c r="E19" s="58">
        <f>E18</f>
        <v/>
      </c>
    </row>
    <row r="20"/>
    <row r="21" ht="15" customHeight="1">
      <c r="B21" s="11" t="inlineStr">
        <is>
          <t>São Paulo, 02 de Janeiro de 2026</t>
        </is>
      </c>
      <c r="C21" s="11" t="n"/>
    </row>
    <row r="22" ht="15" customHeight="1"/>
    <row r="23" ht="15" customHeight="1"/>
    <row r="24" ht="15" customHeight="1"/>
    <row r="25">
      <c r="B25" s="11">
        <f>Cadastro!C12</f>
        <v/>
      </c>
      <c r="C25" s="11" t="n"/>
      <c r="E25" s="11">
        <f>Cadastro!C9</f>
        <v/>
      </c>
    </row>
    <row r="26">
      <c r="B26" s="11">
        <f>Cadastro!C13</f>
        <v/>
      </c>
      <c r="C26" s="11" t="n"/>
      <c r="E26" s="11">
        <f>Cadastro!C10</f>
        <v/>
      </c>
    </row>
    <row r="27">
      <c r="B27" s="11">
        <f>Cadastro!C14</f>
        <v/>
      </c>
      <c r="C27" s="11" t="n"/>
      <c r="E27" s="11">
        <f>Cadastro!C11</f>
        <v/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</sheetData>
  <mergeCells count="4">
    <mergeCell ref="B2:F2"/>
    <mergeCell ref="B1:F1"/>
    <mergeCell ref="B5:E5"/>
    <mergeCell ref="B3:F3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1B2A4A"/>
    <outlinePr summaryBelow="1" summaryRight="1"/>
    <pageSetUpPr/>
  </sheetPr>
  <dimension ref="A1:I44"/>
  <sheetViews>
    <sheetView zoomScaleNormal="100" workbookViewId="0">
      <selection activeCell="D7" sqref="D7"/>
    </sheetView>
  </sheetViews>
  <sheetFormatPr baseColWidth="8" defaultColWidth="8.7109375" defaultRowHeight="15"/>
  <cols>
    <col width="20" customWidth="1" min="2" max="7"/>
    <col width="22" customWidth="1" min="8" max="8"/>
  </cols>
  <sheetData>
    <row r="1" ht="30" customHeight="1">
      <c r="B1" s="74" t="inlineStr">
        <is>
          <t>Declaração de Faturamento — Impostos</t>
        </is>
      </c>
    </row>
    <row r="2" ht="15" customHeight="1">
      <c r="B2" s="75" t="inlineStr">
        <is>
          <t>Período: Janeiro a Dezembro 2025  |  Valores em R$</t>
        </is>
      </c>
    </row>
    <row r="3" ht="15" customHeight="1">
      <c r="B3" s="76" t="inlineStr">
        <is>
          <t>[EMPRESA AUDITADA] — CNPJ/MF 00.000.000/0001-00</t>
        </is>
      </c>
    </row>
    <row r="4"/>
    <row r="5" ht="15" customHeight="1">
      <c r="B5" s="70" t="inlineStr">
        <is>
          <t xml:space="preserve">  DECLARAÇÃO DE FATURAMENTO — IMPOSTOS</t>
        </is>
      </c>
    </row>
    <row r="6" ht="24.75" customHeight="1">
      <c r="B6" s="14" t="inlineStr">
        <is>
          <t>CÓD.</t>
        </is>
      </c>
      <c r="C6" s="14" t="inlineStr">
        <is>
          <t>MÊS</t>
        </is>
      </c>
      <c r="D6" s="14" t="inlineStr">
        <is>
          <t>PIS</t>
        </is>
      </c>
      <c r="E6" s="14" t="inlineStr">
        <is>
          <t>COFINS</t>
        </is>
      </c>
      <c r="F6" s="14" t="inlineStr">
        <is>
          <t>CSLL</t>
        </is>
      </c>
      <c r="G6" s="14" t="inlineStr">
        <is>
          <t>IRPJ</t>
        </is>
      </c>
      <c r="H6" s="14" t="inlineStr">
        <is>
          <t>FATURAMENTO (R$)</t>
        </is>
      </c>
    </row>
    <row r="7" ht="15" customHeight="1">
      <c r="B7" s="12" t="n">
        <v>1</v>
      </c>
      <c r="C7" s="4" t="inlineStr">
        <is>
          <t>JANEIRO</t>
        </is>
      </c>
      <c r="D7" s="8" t="n">
        <v>11320.22</v>
      </c>
      <c r="E7" s="8" t="n">
        <v>52247.18</v>
      </c>
      <c r="F7" s="8" t="n">
        <v>18808.98</v>
      </c>
      <c r="G7" s="8" t="n">
        <v>41797.74</v>
      </c>
      <c r="H7" s="8">
        <f>0.0882026848542626*Faturamento!D19</f>
        <v/>
      </c>
    </row>
    <row r="8" ht="15" customHeight="1">
      <c r="B8" s="12" t="n">
        <v>2</v>
      </c>
      <c r="C8" s="4" t="inlineStr">
        <is>
          <t>FEVEREIRO</t>
        </is>
      </c>
      <c r="D8" s="8" t="n">
        <v>10078.3</v>
      </c>
      <c r="E8" s="8" t="n">
        <v>46515.24</v>
      </c>
      <c r="F8" s="8" t="n">
        <v>16745.49</v>
      </c>
      <c r="G8" s="8" t="n">
        <v>37212.19</v>
      </c>
      <c r="H8" s="8">
        <f>0.0785261405461744*Faturamento!D19</f>
        <v/>
      </c>
    </row>
    <row r="9" ht="15" customHeight="1">
      <c r="B9" s="12" t="n">
        <v>3</v>
      </c>
      <c r="C9" s="4" t="inlineStr">
        <is>
          <t>MARÇO</t>
        </is>
      </c>
      <c r="D9" s="8" t="n">
        <v>11154.42</v>
      </c>
      <c r="E9" s="8" t="n">
        <v>51481.94</v>
      </c>
      <c r="F9" s="8" t="n">
        <v>18533.5</v>
      </c>
      <c r="G9" s="8" t="n">
        <v>41185.55</v>
      </c>
      <c r="H9" s="8">
        <f>0.0869108279394289*Faturamento!D19</f>
        <v/>
      </c>
    </row>
    <row r="10" ht="15" customHeight="1">
      <c r="B10" s="12" t="n">
        <v>4</v>
      </c>
      <c r="C10" s="4" t="inlineStr">
        <is>
          <t>ABRIL</t>
        </is>
      </c>
      <c r="D10" s="8" t="n">
        <v>12224.71</v>
      </c>
      <c r="E10" s="8" t="n">
        <v>56421.74</v>
      </c>
      <c r="F10" s="8" t="n">
        <v>20311.83</v>
      </c>
      <c r="G10" s="8" t="n">
        <v>45137.39</v>
      </c>
      <c r="H10" s="8">
        <f>0.0952500985414363*Faturamento!D19</f>
        <v/>
      </c>
    </row>
    <row r="11" ht="15" customHeight="1">
      <c r="B11" s="12" t="n">
        <v>5</v>
      </c>
      <c r="C11" s="4" t="inlineStr">
        <is>
          <t>MAIO</t>
        </is>
      </c>
      <c r="D11" s="8" t="n">
        <v>10395.53</v>
      </c>
      <c r="E11" s="8" t="n">
        <v>47979.39</v>
      </c>
      <c r="F11" s="8" t="n">
        <v>17272.58</v>
      </c>
      <c r="G11" s="8" t="n">
        <v>38383.51</v>
      </c>
      <c r="H11" s="8">
        <f>0.0809978884833476*Faturamento!D19</f>
        <v/>
      </c>
    </row>
    <row r="12" ht="15" customHeight="1">
      <c r="B12" s="12" t="n">
        <v>6</v>
      </c>
      <c r="C12" s="4" t="inlineStr">
        <is>
          <t>JUNHO</t>
        </is>
      </c>
      <c r="D12" s="8" t="n">
        <v>11207.59</v>
      </c>
      <c r="E12" s="8" t="n">
        <v>51727.36</v>
      </c>
      <c r="F12" s="8" t="n">
        <v>18621.85</v>
      </c>
      <c r="G12" s="8" t="n">
        <v>41381.89</v>
      </c>
      <c r="H12" s="8">
        <f>0.0873251399283078*Faturamento!D19</f>
        <v/>
      </c>
    </row>
    <row r="13" ht="15" customHeight="1">
      <c r="B13" s="12" t="n">
        <v>7</v>
      </c>
      <c r="C13" s="4" t="inlineStr">
        <is>
          <t>JULHO</t>
        </is>
      </c>
      <c r="D13" s="8" t="n">
        <v>11332.7</v>
      </c>
      <c r="E13" s="8" t="n">
        <v>52304.77</v>
      </c>
      <c r="F13" s="8" t="n">
        <v>18829.72</v>
      </c>
      <c r="G13" s="8" t="n">
        <v>41843.82</v>
      </c>
      <c r="H13" s="8">
        <f>0.0882999098893809*Faturamento!D19</f>
        <v/>
      </c>
    </row>
    <row r="14" ht="15" customHeight="1">
      <c r="B14" s="12" t="n">
        <v>8</v>
      </c>
      <c r="C14" s="4" t="inlineStr">
        <is>
          <t>AGOSTO</t>
        </is>
      </c>
      <c r="D14" s="8" t="n">
        <v>8290.83</v>
      </c>
      <c r="E14" s="8" t="n">
        <v>38265.39</v>
      </c>
      <c r="F14" s="8" t="n">
        <v>13775.54</v>
      </c>
      <c r="G14" s="8" t="n">
        <v>30612.31</v>
      </c>
      <c r="H14" s="8">
        <f>0.0645988998957801*Faturamento!D19</f>
        <v/>
      </c>
    </row>
    <row r="15" ht="15" customHeight="1">
      <c r="B15" s="12" t="n">
        <v>9</v>
      </c>
      <c r="C15" s="4" t="inlineStr">
        <is>
          <t>SETEMBRO</t>
        </is>
      </c>
      <c r="D15" s="8" t="n">
        <v>8279.73</v>
      </c>
      <c r="E15" s="8" t="n">
        <v>38214.15</v>
      </c>
      <c r="F15" s="8" t="n">
        <v>13757.09</v>
      </c>
      <c r="G15" s="8" t="n">
        <v>30571.32</v>
      </c>
      <c r="H15" s="8">
        <f>0.0645123883938483*Faturamento!D19</f>
        <v/>
      </c>
    </row>
    <row r="16" ht="15" customHeight="1">
      <c r="B16" s="12" t="n">
        <v>10</v>
      </c>
      <c r="C16" s="4" t="inlineStr">
        <is>
          <t>OUTUBRO</t>
        </is>
      </c>
      <c r="D16" s="8" t="n">
        <v>11505.16</v>
      </c>
      <c r="E16" s="8" t="n">
        <v>53100.72</v>
      </c>
      <c r="F16" s="8" t="n">
        <v>19116.26</v>
      </c>
      <c r="G16" s="8" t="n">
        <v>42480.57</v>
      </c>
      <c r="H16" s="8">
        <f>0.0896436099934292*Faturamento!D19</f>
        <v/>
      </c>
    </row>
    <row r="17" ht="15" customHeight="1">
      <c r="B17" s="12" t="n">
        <v>11</v>
      </c>
      <c r="C17" s="4" t="inlineStr">
        <is>
          <t>NOVEMBRO</t>
        </is>
      </c>
      <c r="D17" s="8" t="n">
        <v>12379.27</v>
      </c>
      <c r="E17" s="8" t="n">
        <v>57135.11</v>
      </c>
      <c r="F17" s="8" t="n">
        <v>20568.64</v>
      </c>
      <c r="G17" s="8" t="n">
        <v>45708.08</v>
      </c>
      <c r="H17" s="8">
        <f>0.0964543900230458*Faturamento!D19</f>
        <v/>
      </c>
    </row>
    <row r="18" ht="15" customHeight="1">
      <c r="B18" s="12" t="n">
        <v>12</v>
      </c>
      <c r="C18" s="4" t="inlineStr">
        <is>
          <t>DEZEMBRO</t>
        </is>
      </c>
      <c r="D18" s="8" t="n">
        <v>10174.8</v>
      </c>
      <c r="E18" s="8" t="n">
        <v>46960.62</v>
      </c>
      <c r="F18" s="8" t="n">
        <v>16905.82</v>
      </c>
      <c r="G18" s="8" t="n">
        <v>37568.5</v>
      </c>
      <c r="H18" s="8">
        <f>0.0792780215115582*Faturamento!D19</f>
        <v/>
      </c>
    </row>
    <row r="19" ht="15" customHeight="1">
      <c r="B19" s="13" t="n"/>
      <c r="C19" s="5" t="inlineStr">
        <is>
          <t>TOTAL</t>
        </is>
      </c>
      <c r="D19" s="3">
        <f>SUM(D7:D18)</f>
        <v/>
      </c>
      <c r="E19" s="3">
        <f>SUM(E7:E18)</f>
        <v/>
      </c>
      <c r="F19" s="3">
        <f>SUM(F7:F18)</f>
        <v/>
      </c>
      <c r="G19" s="3">
        <f>SUM(G7:G18)</f>
        <v/>
      </c>
      <c r="H19" s="3">
        <f>SUM(H7:H18)</f>
        <v/>
      </c>
    </row>
    <row r="20"/>
    <row r="21" ht="15" customHeight="1">
      <c r="B21" s="6" t="inlineStr">
        <is>
          <t>NILSON / CONTADOR RESPONSÁVEL</t>
        </is>
      </c>
      <c r="E21" s="6" t="inlineStr">
        <is>
          <t>[SÓCIO ADMINISTRADOR]</t>
        </is>
      </c>
    </row>
    <row r="22" ht="15" customHeight="1">
      <c r="B22" s="7" t="inlineStr">
        <is>
          <t>Contador - CRC/PR 14.660</t>
        </is>
      </c>
      <c r="E22" s="7" t="inlineStr">
        <is>
          <t>Sócio administrador</t>
        </is>
      </c>
    </row>
    <row r="23" ht="15" customHeight="1">
      <c r="B23" s="7" t="inlineStr">
        <is>
          <t>CPF: 838.177.519-15</t>
        </is>
      </c>
      <c r="E23" s="7" t="inlineStr">
        <is>
          <t>CPF/MF: 387.775.838-09</t>
        </is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</sheetData>
  <mergeCells count="4">
    <mergeCell ref="B5:H5"/>
    <mergeCell ref="B1:E1"/>
    <mergeCell ref="B3:E3"/>
    <mergeCell ref="B2:E2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2026-09-13T00:31:17Z</dcterms:created>
  <dcterms:modified xmlns:dcterms="http://purl.org/dc/terms/" xmlns:xsi="http://www.w3.org/2001/XMLSchema-instance" xsi:type="dcterms:W3CDTF">2026-10-06T21:43:23Z</dcterms:modified>
  <cp:lastModifiedBy>Nilson Oliveira</cp:lastModifiedBy>
  <cp:revision>0</cp:revision>
  <cp:lastPrinted>2026-09-13T02:11:39Z</cp:lastPrinted>
</cp:coreProperties>
</file>